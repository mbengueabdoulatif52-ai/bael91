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ux" sheetId="1" state="visible" r:id="rId1"/>
    <sheet xmlns:r="http://schemas.openxmlformats.org/officeDocument/2006/relationships" name="Noeuds" sheetId="2" state="visible" r:id="rId2"/>
    <sheet xmlns:r="http://schemas.openxmlformats.org/officeDocument/2006/relationships" name="Barres" sheetId="3" state="visible" r:id="rId3"/>
    <sheet xmlns:r="http://schemas.openxmlformats.org/officeDocument/2006/relationships" name="Dalles" sheetId="4" state="visible" r:id="rId4"/>
    <sheet xmlns:r="http://schemas.openxmlformats.org/officeDocument/2006/relationships" name="Fondations" sheetId="5" state="visible" r:id="rId5"/>
    <sheet xmlns:r="http://schemas.openxmlformats.org/officeDocument/2006/relationships" name="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7F6000"/>
      <sz val="8"/>
    </font>
    <font>
      <name val="Arial"/>
      <b val="1"/>
      <color rgb="00FFFFFF"/>
      <sz val="9"/>
    </font>
    <font>
      <name val="Arial"/>
      <sz val="9"/>
    </font>
    <font>
      <name val="Arial"/>
      <b val="1"/>
      <i val="1"/>
      <color rgb="001F3864"/>
      <sz val="9"/>
    </font>
    <font>
      <name val="Arial"/>
      <b val="1"/>
      <color rgb="00000080"/>
      <sz val="9"/>
    </font>
    <font>
      <name val="Arial"/>
      <color rgb="00666666"/>
      <sz val="9"/>
    </font>
    <font>
      <name val="Arial"/>
      <i val="1"/>
      <color rgb="00666666"/>
      <sz val="8"/>
    </font>
    <font>
      <name val="Arial"/>
      <b val="1"/>
      <color rgb="00375623"/>
      <sz val="9"/>
    </font>
    <font>
      <name val="Arial"/>
      <i val="1"/>
      <color rgb="001F3864"/>
      <sz val="8"/>
    </font>
    <font>
      <name val="Arial"/>
      <color rgb="00000080"/>
      <sz val="9"/>
    </font>
    <font>
      <name val="Arial"/>
      <color rgb="00375623"/>
      <sz val="9"/>
    </font>
    <font>
      <name val="Arial"/>
      <i val="1"/>
      <color rgb="00C00000"/>
      <sz val="8"/>
    </font>
    <font>
      <name val="Arial"/>
      <i val="1"/>
      <color rgb="00999999"/>
      <sz val="9"/>
    </font>
    <font>
      <name val="Arial"/>
      <b val="1"/>
      <color rgb="001F3864"/>
      <sz val="9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F9E6"/>
      </patternFill>
    </fill>
    <fill>
      <patternFill patternType="solid">
        <fgColor rgb="00F9F9F9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F0F5FF"/>
      </patternFill>
    </fill>
    <fill>
      <patternFill patternType="solid">
        <fgColor rgb="00FCE4D6"/>
      </patternFill>
    </fill>
    <fill>
      <patternFill patternType="solid">
        <fgColor rgb="00FFF0EC"/>
      </patternFill>
    </fill>
    <fill>
      <patternFill patternType="solid">
        <fgColor rgb="00D9D9D9"/>
      </patternFill>
    </fill>
    <fill>
      <patternFill patternType="solid">
        <fgColor rgb="00888888"/>
      </patternFill>
    </fill>
    <fill>
      <patternFill patternType="solid">
        <fgColor rgb="00F0FFF0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left" vertical="center" indent="1"/>
    </xf>
    <xf numFmtId="0" fontId="4" fillId="5" borderId="2" applyAlignment="1" pivotButton="0" quotePrefix="0" xfId="0">
      <alignment horizontal="left" vertical="center" indent="1"/>
    </xf>
    <xf numFmtId="0" fontId="5" fillId="5" borderId="2" applyAlignment="1" pivotButton="0" quotePrefix="0" xfId="0">
      <alignment horizontal="center" vertical="center"/>
    </xf>
    <xf numFmtId="2" fontId="6" fillId="3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 indent="1"/>
    </xf>
    <xf numFmtId="0" fontId="5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 indent="1"/>
    </xf>
    <xf numFmtId="0" fontId="9" fillId="7" borderId="2" applyAlignment="1" pivotButton="0" quotePrefix="0" xfId="0">
      <alignment horizontal="center" vertical="center"/>
    </xf>
    <xf numFmtId="0" fontId="10" fillId="8" borderId="0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indent="1"/>
    </xf>
    <xf numFmtId="0" fontId="6" fillId="9" borderId="2" applyAlignment="1" pivotButton="0" quotePrefix="0" xfId="0">
      <alignment horizontal="center" vertical="center"/>
    </xf>
    <xf numFmtId="164" fontId="11" fillId="9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left" vertical="center" indent="2"/>
    </xf>
    <xf numFmtId="0" fontId="11" fillId="3" borderId="2" applyAlignment="1" pivotButton="0" quotePrefix="0" xfId="0">
      <alignment horizontal="center" vertical="center"/>
    </xf>
    <xf numFmtId="2" fontId="11" fillId="3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2" fontId="12" fillId="7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2" fontId="11" fillId="9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2"/>
    </xf>
    <xf numFmtId="0" fontId="6" fillId="13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center" vertical="center"/>
    </xf>
    <xf numFmtId="2" fontId="11" fillId="13" borderId="2" applyAlignment="1" pivotButton="0" quotePrefix="0" xfId="0">
      <alignment horizontal="center" vertical="center"/>
    </xf>
    <xf numFmtId="0" fontId="13" fillId="14" borderId="0" applyAlignment="1" pivotButton="0" quotePrefix="0" xfId="0">
      <alignment horizontal="left" vertical="center" wrapText="1" indent="1"/>
    </xf>
    <xf numFmtId="0" fontId="3" fillId="12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center" vertical="center"/>
    </xf>
    <xf numFmtId="164" fontId="11" fillId="15" borderId="2" applyAlignment="1" pivotButton="0" quotePrefix="0" xfId="0">
      <alignment horizontal="center" vertical="center"/>
    </xf>
    <xf numFmtId="0" fontId="14" fillId="16" borderId="2" applyAlignment="1" pivotButton="0" quotePrefix="0" xfId="0">
      <alignment horizontal="center" vertical="center"/>
    </xf>
    <xf numFmtId="0" fontId="3" fillId="17" borderId="2" applyAlignment="1" pivotButton="0" quotePrefix="0" xfId="0">
      <alignment horizontal="center" vertical="center" wrapText="1"/>
    </xf>
    <xf numFmtId="165" fontId="11" fillId="3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165" fontId="11" fillId="18" borderId="2" applyAlignment="1" pivotButton="0" quotePrefix="0" xfId="0">
      <alignment horizontal="center" vertical="center"/>
    </xf>
    <xf numFmtId="0" fontId="11" fillId="18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 indent="2"/>
    </xf>
    <xf numFmtId="0" fontId="15" fillId="5" borderId="2" applyAlignment="1" pivotButton="0" quotePrefix="0" xfId="0">
      <alignment horizontal="left" vertical="center" indent="1"/>
    </xf>
    <xf numFmtId="0" fontId="4" fillId="5" borderId="2" applyAlignment="1" pivotButton="0" quotePrefix="0" xfId="0">
      <alignment horizontal="left" vertical="center" wrapText="1" indent="1"/>
    </xf>
    <xf numFmtId="0" fontId="8" fillId="5" borderId="2" applyAlignment="1" pivotButton="0" quotePrefix="0" xfId="0">
      <alignment horizontal="left" vertical="center" wrapText="1" indent="1"/>
    </xf>
    <xf numFmtId="0" fontId="15" fillId="6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 wrapText="1" indent="1"/>
    </xf>
    <xf numFmtId="0" fontId="8" fillId="6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1"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0" customWidth="1" min="4" max="4"/>
    <col width="32" customWidth="1" min="5" max="5"/>
  </cols>
  <sheetData>
    <row r="1" ht="22" customHeight="1">
      <c r="A1" s="1" t="inlineStr">
        <is>
          <t xml:space="preserve">  MATERIAUX — Parametres BAEL 91</t>
        </is>
      </c>
    </row>
    <row r="2" ht="18" customHeight="1">
      <c r="A2" s="2" t="inlineStr">
        <is>
          <t>Cellules JAUNES = saisie utilisateur  |  Cellules VERTES = calcul automatique  |  Ne pas modifier les cellules grises</t>
        </is>
      </c>
    </row>
    <row r="3" ht="16" customHeight="1">
      <c r="A3" s="3" t="inlineStr">
        <is>
          <t>── BETON ──────────────────────────────────────────</t>
        </is>
      </c>
    </row>
    <row r="4" ht="16" customHeight="1">
      <c r="A4" s="4" t="inlineStr">
        <is>
          <t>Resistance caracteristique fc28</t>
        </is>
      </c>
      <c r="B4" s="5" t="inlineStr">
        <is>
          <t>fc28</t>
        </is>
      </c>
      <c r="C4" s="6" t="n">
        <v>25</v>
      </c>
      <c r="D4" s="7" t="inlineStr">
        <is>
          <t>MPa</t>
        </is>
      </c>
      <c r="E4" s="8" t="inlineStr">
        <is>
          <t>C25/30 courant</t>
        </is>
      </c>
    </row>
    <row r="5" ht="16" customHeight="1">
      <c r="A5" s="9" t="inlineStr">
        <is>
          <t>Coefficient partiel beton ELU</t>
        </is>
      </c>
      <c r="B5" s="10" t="inlineStr">
        <is>
          <t>gammab</t>
        </is>
      </c>
      <c r="C5" s="6" t="n">
        <v>1.5</v>
      </c>
      <c r="D5" s="11" t="inlineStr">
        <is>
          <t>—</t>
        </is>
      </c>
      <c r="E5" s="12" t="inlineStr">
        <is>
          <t>BAEL Art. 4.3.4</t>
        </is>
      </c>
    </row>
    <row r="6" ht="16" customHeight="1">
      <c r="A6" s="4" t="inlineStr">
        <is>
          <t>Module elasticite beton</t>
        </is>
      </c>
      <c r="B6" s="5" t="inlineStr">
        <is>
          <t>Eb</t>
        </is>
      </c>
      <c r="C6" s="13">
        <f>11000*(C5^(1/3))</f>
        <v/>
      </c>
      <c r="D6" s="7" t="inlineStr">
        <is>
          <t>MPa</t>
        </is>
      </c>
      <c r="E6" s="8" t="inlineStr">
        <is>
          <t>Calcule auto</t>
        </is>
      </c>
    </row>
    <row r="7" ht="16" customHeight="1">
      <c r="A7" s="9" t="inlineStr">
        <is>
          <t>Masse volumique beton arme</t>
        </is>
      </c>
      <c r="B7" s="10" t="inlineStr">
        <is>
          <t>rba</t>
        </is>
      </c>
      <c r="C7" s="6" t="n">
        <v>25</v>
      </c>
      <c r="D7" s="11" t="inlineStr">
        <is>
          <t>kN/m3</t>
        </is>
      </c>
      <c r="E7" s="12" t="inlineStr">
        <is>
          <t>Valeur standard</t>
        </is>
      </c>
    </row>
    <row r="8" ht="16" customHeight="1">
      <c r="A8" s="3" t="inlineStr">
        <is>
          <t>── ACIER ────────────────────────────────────────────</t>
        </is>
      </c>
    </row>
    <row r="9" ht="16" customHeight="1">
      <c r="A9" s="9" t="inlineStr">
        <is>
          <t>Limite elastique acier</t>
        </is>
      </c>
      <c r="B9" s="10" t="inlineStr">
        <is>
          <t>fe</t>
        </is>
      </c>
      <c r="C9" s="6" t="n">
        <v>400</v>
      </c>
      <c r="D9" s="11" t="inlineStr">
        <is>
          <t>MPa</t>
        </is>
      </c>
      <c r="E9" s="12" t="inlineStr">
        <is>
          <t>FeE400 HA</t>
        </is>
      </c>
    </row>
    <row r="10" ht="16" customHeight="1">
      <c r="A10" s="4" t="inlineStr">
        <is>
          <t>Coefficient partiel acier ELU</t>
        </is>
      </c>
      <c r="B10" s="5" t="inlineStr">
        <is>
          <t>gammas</t>
        </is>
      </c>
      <c r="C10" s="6" t="n">
        <v>1.15</v>
      </c>
      <c r="D10" s="7" t="inlineStr">
        <is>
          <t>—</t>
        </is>
      </c>
      <c r="E10" s="8" t="inlineStr">
        <is>
          <t>BAEL Art. 4.3.4</t>
        </is>
      </c>
    </row>
    <row r="11" ht="16" customHeight="1">
      <c r="A11" s="3" t="inlineStr">
        <is>
          <t>── ENROBAGES ────────────────────────────────────────</t>
        </is>
      </c>
    </row>
    <row r="12" ht="16" customHeight="1">
      <c r="A12" s="4" t="inlineStr">
        <is>
          <t>Enrobage poutres</t>
        </is>
      </c>
      <c r="B12" s="5" t="inlineStr">
        <is>
          <t>c_poutre</t>
        </is>
      </c>
      <c r="C12" s="6" t="n">
        <v>0.03</v>
      </c>
      <c r="D12" s="7" t="inlineStr">
        <is>
          <t>m</t>
        </is>
      </c>
      <c r="E12" s="8" t="inlineStr">
        <is>
          <t>3 cm — milieu normal</t>
        </is>
      </c>
    </row>
    <row r="13" ht="16" customHeight="1">
      <c r="A13" s="9" t="inlineStr">
        <is>
          <t>Enrobage dalles</t>
        </is>
      </c>
      <c r="B13" s="10" t="inlineStr">
        <is>
          <t>c_dalle</t>
        </is>
      </c>
      <c r="C13" s="6" t="n">
        <v>0.02</v>
      </c>
      <c r="D13" s="11" t="inlineStr">
        <is>
          <t>m</t>
        </is>
      </c>
      <c r="E13" s="12" t="inlineStr">
        <is>
          <t>2 cm — milieu normal</t>
        </is>
      </c>
    </row>
    <row r="14" ht="16" customHeight="1">
      <c r="A14" s="4" t="inlineStr">
        <is>
          <t>Enrobage poteaux</t>
        </is>
      </c>
      <c r="B14" s="5" t="inlineStr">
        <is>
          <t>c_poteau</t>
        </is>
      </c>
      <c r="C14" s="6" t="n">
        <v>0.03</v>
      </c>
      <c r="D14" s="7" t="inlineStr">
        <is>
          <t>m</t>
        </is>
      </c>
      <c r="E14" s="8" t="inlineStr">
        <is>
          <t>3 cm — milieu normal</t>
        </is>
      </c>
    </row>
    <row r="15" ht="16" customHeight="1">
      <c r="A15" s="9" t="inlineStr">
        <is>
          <t>Enrobage fondations</t>
        </is>
      </c>
      <c r="B15" s="10" t="inlineStr">
        <is>
          <t>c_fond</t>
        </is>
      </c>
      <c r="C15" s="6" t="n">
        <v>0.05</v>
      </c>
      <c r="D15" s="11" t="inlineStr">
        <is>
          <t>m</t>
        </is>
      </c>
      <c r="E15" s="12" t="inlineStr">
        <is>
          <t>5 cm — beton en contact sol</t>
        </is>
      </c>
    </row>
    <row r="16" ht="16" customHeight="1">
      <c r="A16" s="3" t="inlineStr">
        <is>
          <t>── FONDATIONS ───────────────────────────────────────</t>
        </is>
      </c>
    </row>
    <row r="17" ht="16" customHeight="1">
      <c r="A17" s="9" t="inlineStr">
        <is>
          <t>Profondeur d ancrage Df</t>
        </is>
      </c>
      <c r="B17" s="10" t="inlineStr">
        <is>
          <t>Df</t>
        </is>
      </c>
      <c r="C17" s="6" t="n">
        <v>1.8</v>
      </c>
      <c r="D17" s="11" t="inlineStr">
        <is>
          <t>m</t>
        </is>
      </c>
      <c r="E17" s="12" t="inlineStr">
        <is>
          <t>Selon etude geotechnique</t>
        </is>
      </c>
    </row>
    <row r="18" ht="16" customHeight="1">
      <c r="A18" s="4" t="inlineStr">
        <is>
          <t>Contrainte admissible sol</t>
        </is>
      </c>
      <c r="B18" s="5" t="inlineStr">
        <is>
          <t>q_adm</t>
        </is>
      </c>
      <c r="C18" s="6" t="n">
        <v>150</v>
      </c>
      <c r="D18" s="7" t="inlineStr">
        <is>
          <t>kN/m2</t>
        </is>
      </c>
      <c r="E18" s="8" t="inlineStr">
        <is>
          <t>Valeur forfaitaire</t>
        </is>
      </c>
    </row>
    <row r="19" ht="16" customHeight="1">
      <c r="A19" s="3" t="inlineStr">
        <is>
          <t>── CALCULS AUTOMATIQUES ─────────────────────────────</t>
        </is>
      </c>
    </row>
    <row r="20" ht="16" customHeight="1">
      <c r="A20" s="4" t="inlineStr">
        <is>
          <t>Contrainte beton service ELS</t>
        </is>
      </c>
      <c r="B20" s="5" t="inlineStr">
        <is>
          <t>sigmaBc</t>
        </is>
      </c>
      <c r="C20" s="13">
        <f>0.6*C5</f>
        <v/>
      </c>
      <c r="D20" s="7" t="inlineStr">
        <is>
          <t>MPa</t>
        </is>
      </c>
      <c r="E20" s="8">
        <f> 0.6 x fc28</f>
        <v/>
      </c>
    </row>
    <row r="21" ht="16" customHeight="1">
      <c r="A21" s="9" t="inlineStr">
        <is>
          <t>Resistance traction ftj</t>
        </is>
      </c>
      <c r="B21" s="10" t="inlineStr">
        <is>
          <t>ftj</t>
        </is>
      </c>
      <c r="C21" s="13">
        <f>0.6+0.06*C5</f>
        <v/>
      </c>
      <c r="D21" s="11" t="inlineStr">
        <is>
          <t>MPa</t>
        </is>
      </c>
      <c r="E21" s="12">
        <f> 0.6 + 0.06 x fc28</f>
        <v/>
      </c>
    </row>
    <row r="22" ht="16" customHeight="1">
      <c r="A22" s="4" t="inlineStr">
        <is>
          <t>Resistance calcul beton fbu</t>
        </is>
      </c>
      <c r="B22" s="5" t="inlineStr">
        <is>
          <t>fbu</t>
        </is>
      </c>
      <c r="C22" s="13">
        <f>0.85*C5/C6</f>
        <v/>
      </c>
      <c r="D22" s="7" t="inlineStr">
        <is>
          <t>MPa</t>
        </is>
      </c>
      <c r="E22" s="8">
        <f> 0.85 x fc28 / gammab</f>
        <v/>
      </c>
    </row>
    <row r="23" ht="16" customHeight="1">
      <c r="A23" s="9" t="inlineStr">
        <is>
          <t>Resistance calcul acier fsu</t>
        </is>
      </c>
      <c r="B23" s="10" t="inlineStr">
        <is>
          <t>fsu</t>
        </is>
      </c>
      <c r="C23" s="13">
        <f>C11/C12</f>
        <v/>
      </c>
      <c r="D23" s="11" t="inlineStr">
        <is>
          <t>MPa</t>
        </is>
      </c>
      <c r="E23" s="12">
        <f> fe / gammas</f>
        <v/>
      </c>
    </row>
  </sheetData>
  <mergeCells count="7">
    <mergeCell ref="A2:E2"/>
    <mergeCell ref="A16:E16"/>
    <mergeCell ref="A19:E19"/>
    <mergeCell ref="A11:E11"/>
    <mergeCell ref="A1:E1"/>
    <mergeCell ref="A8:E8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22" customWidth="1" min="5" max="5"/>
  </cols>
  <sheetData>
    <row r="1" ht="22" customHeight="1">
      <c r="A1" s="1" t="inlineStr">
        <is>
          <t xml:space="preserve">  NOEUDS — Coordonnees X, Y, Z</t>
        </is>
      </c>
    </row>
    <row r="2" ht="18" customHeight="1">
      <c r="A2" s="14" t="inlineStr">
        <is>
          <t>Saisir l ID, X, Y et Z de chaque noeud. Le niveau est calcule automatiquement par le moteur de calcul. Z = 0 pour les appuis de fondation.</t>
        </is>
      </c>
    </row>
    <row r="3" ht="22" customHeight="1">
      <c r="A3" s="15" t="inlineStr">
        <is>
          <t>ID</t>
        </is>
      </c>
      <c r="B3" s="15" t="inlineStr">
        <is>
          <t>X (m)</t>
        </is>
      </c>
      <c r="C3" s="15" t="inlineStr">
        <is>
          <t>Y (m)</t>
        </is>
      </c>
      <c r="D3" s="15" t="inlineStr">
        <is>
          <t>Z (m)</t>
        </is>
      </c>
      <c r="E3" s="16" t="inlineStr">
        <is>
          <t>Repere (optionnel)</t>
        </is>
      </c>
    </row>
    <row r="4" ht="14" customHeight="1">
      <c r="A4" s="17" t="n">
        <v>1</v>
      </c>
      <c r="B4" s="18" t="n">
        <v>0</v>
      </c>
      <c r="C4" s="18" t="n">
        <v>0</v>
      </c>
      <c r="D4" s="18" t="n">
        <v>0</v>
      </c>
      <c r="E4" s="19" t="inlineStr">
        <is>
          <t>N1(0,0,0) — Angle</t>
        </is>
      </c>
    </row>
    <row r="5" ht="14" customHeight="1">
      <c r="A5" s="17" t="n">
        <v>2</v>
      </c>
      <c r="B5" s="18" t="n">
        <v>5</v>
      </c>
      <c r="C5" s="18" t="n">
        <v>0</v>
      </c>
      <c r="D5" s="18" t="n">
        <v>0</v>
      </c>
      <c r="E5" s="19" t="inlineStr">
        <is>
          <t>N2(5,0,0) — Rive bord court</t>
        </is>
      </c>
    </row>
    <row r="6" ht="14" customHeight="1">
      <c r="A6" s="17" t="n">
        <v>3</v>
      </c>
      <c r="B6" s="18" t="n">
        <v>10</v>
      </c>
      <c r="C6" s="18" t="n">
        <v>0</v>
      </c>
      <c r="D6" s="18" t="n">
        <v>0</v>
      </c>
      <c r="E6" s="19" t="inlineStr">
        <is>
          <t>N3(10,0,0) — Angle</t>
        </is>
      </c>
    </row>
    <row r="7" ht="14" customHeight="1">
      <c r="A7" s="17" t="n">
        <v>4</v>
      </c>
      <c r="B7" s="18" t="n">
        <v>0</v>
      </c>
      <c r="C7" s="18" t="n">
        <v>5</v>
      </c>
      <c r="D7" s="18" t="n">
        <v>0</v>
      </c>
      <c r="E7" s="19" t="inlineStr">
        <is>
          <t>N4(0,5,0) — Rive bord long</t>
        </is>
      </c>
    </row>
    <row r="8" ht="14" customHeight="1">
      <c r="A8" s="17" t="n">
        <v>5</v>
      </c>
      <c r="B8" s="18" t="n">
        <v>5</v>
      </c>
      <c r="C8" s="18" t="n">
        <v>5</v>
      </c>
      <c r="D8" s="18" t="n">
        <v>0</v>
      </c>
      <c r="E8" s="19" t="inlineStr">
        <is>
          <t>N5(5,5,0) — Interieur</t>
        </is>
      </c>
    </row>
    <row r="9" ht="14" customHeight="1">
      <c r="A9" s="17" t="n">
        <v>6</v>
      </c>
      <c r="B9" s="18" t="n">
        <v>10</v>
      </c>
      <c r="C9" s="18" t="n">
        <v>5</v>
      </c>
      <c r="D9" s="18" t="n">
        <v>0</v>
      </c>
      <c r="E9" s="19" t="inlineStr">
        <is>
          <t>N6(10,5,0) — Rive bord long</t>
        </is>
      </c>
    </row>
    <row r="10" ht="14" customHeight="1">
      <c r="A10" s="17" t="n">
        <v>7</v>
      </c>
      <c r="B10" s="18" t="n">
        <v>0</v>
      </c>
      <c r="C10" s="18" t="n">
        <v>10</v>
      </c>
      <c r="D10" s="18" t="n">
        <v>0</v>
      </c>
      <c r="E10" s="19" t="inlineStr">
        <is>
          <t>N7(0,10,0) — Rive bord long</t>
        </is>
      </c>
    </row>
    <row r="11" ht="14" customHeight="1">
      <c r="A11" s="17" t="n">
        <v>8</v>
      </c>
      <c r="B11" s="18" t="n">
        <v>5</v>
      </c>
      <c r="C11" s="18" t="n">
        <v>10</v>
      </c>
      <c r="D11" s="18" t="n">
        <v>0</v>
      </c>
      <c r="E11" s="19" t="inlineStr">
        <is>
          <t>N8(5,10,0) — Interieur</t>
        </is>
      </c>
    </row>
    <row r="12" ht="14" customHeight="1">
      <c r="A12" s="17" t="n">
        <v>9</v>
      </c>
      <c r="B12" s="18" t="n">
        <v>10</v>
      </c>
      <c r="C12" s="18" t="n">
        <v>10</v>
      </c>
      <c r="D12" s="18" t="n">
        <v>0</v>
      </c>
      <c r="E12" s="19" t="inlineStr">
        <is>
          <t>N9(10,10,0) — Rive bord long</t>
        </is>
      </c>
    </row>
    <row r="13" ht="14" customHeight="1">
      <c r="A13" s="17" t="n">
        <v>10</v>
      </c>
      <c r="B13" s="18" t="n">
        <v>0</v>
      </c>
      <c r="C13" s="18" t="n">
        <v>15</v>
      </c>
      <c r="D13" s="18" t="n">
        <v>0</v>
      </c>
      <c r="E13" s="19" t="inlineStr">
        <is>
          <t>N10(0,15,0) — Angle</t>
        </is>
      </c>
    </row>
    <row r="14" ht="14" customHeight="1">
      <c r="A14" s="17" t="n">
        <v>11</v>
      </c>
      <c r="B14" s="18" t="n">
        <v>5</v>
      </c>
      <c r="C14" s="18" t="n">
        <v>15</v>
      </c>
      <c r="D14" s="18" t="n">
        <v>0</v>
      </c>
      <c r="E14" s="19" t="inlineStr">
        <is>
          <t>N11(5,15,0) — Rive bord court</t>
        </is>
      </c>
    </row>
    <row r="15" ht="14" customHeight="1">
      <c r="A15" s="17" t="n">
        <v>12</v>
      </c>
      <c r="B15" s="18" t="n">
        <v>10</v>
      </c>
      <c r="C15" s="18" t="n">
        <v>15</v>
      </c>
      <c r="D15" s="18" t="n">
        <v>0</v>
      </c>
      <c r="E15" s="19" t="inlineStr">
        <is>
          <t>N12(10,15,0) — Angle</t>
        </is>
      </c>
    </row>
    <row r="16" ht="14" customHeight="1">
      <c r="A16" s="20" t="n">
        <v>13</v>
      </c>
      <c r="B16" s="21" t="n">
        <v>0</v>
      </c>
      <c r="C16" s="21" t="n">
        <v>0</v>
      </c>
      <c r="D16" s="21" t="n">
        <v>3</v>
      </c>
      <c r="E16" s="19" t="inlineStr">
        <is>
          <t>N13(0,0,3) — Angle</t>
        </is>
      </c>
    </row>
    <row r="17" ht="14" customHeight="1">
      <c r="A17" s="20" t="n">
        <v>14</v>
      </c>
      <c r="B17" s="21" t="n">
        <v>5</v>
      </c>
      <c r="C17" s="21" t="n">
        <v>0</v>
      </c>
      <c r="D17" s="21" t="n">
        <v>3</v>
      </c>
      <c r="E17" s="19" t="inlineStr">
        <is>
          <t>N14(5,0,3) — Rive bord court</t>
        </is>
      </c>
    </row>
    <row r="18" ht="14" customHeight="1">
      <c r="A18" s="20" t="n">
        <v>15</v>
      </c>
      <c r="B18" s="21" t="n">
        <v>10</v>
      </c>
      <c r="C18" s="21" t="n">
        <v>0</v>
      </c>
      <c r="D18" s="21" t="n">
        <v>3</v>
      </c>
      <c r="E18" s="19" t="inlineStr">
        <is>
          <t>N15(10,0,3) — Angle</t>
        </is>
      </c>
    </row>
    <row r="19" ht="14" customHeight="1">
      <c r="A19" s="20" t="n">
        <v>16</v>
      </c>
      <c r="B19" s="21" t="n">
        <v>0</v>
      </c>
      <c r="C19" s="21" t="n">
        <v>5</v>
      </c>
      <c r="D19" s="21" t="n">
        <v>3</v>
      </c>
      <c r="E19" s="19" t="inlineStr">
        <is>
          <t>N16(0,5,3) — Rive bord long</t>
        </is>
      </c>
    </row>
    <row r="20" ht="14" customHeight="1">
      <c r="A20" s="20" t="n">
        <v>17</v>
      </c>
      <c r="B20" s="21" t="n">
        <v>5</v>
      </c>
      <c r="C20" s="21" t="n">
        <v>5</v>
      </c>
      <c r="D20" s="21" t="n">
        <v>3</v>
      </c>
      <c r="E20" s="19" t="inlineStr">
        <is>
          <t>N17(5,5,3) — Interieur</t>
        </is>
      </c>
    </row>
    <row r="21" ht="14" customHeight="1">
      <c r="A21" s="20" t="n">
        <v>18</v>
      </c>
      <c r="B21" s="21" t="n">
        <v>10</v>
      </c>
      <c r="C21" s="21" t="n">
        <v>5</v>
      </c>
      <c r="D21" s="21" t="n">
        <v>3</v>
      </c>
      <c r="E21" s="19" t="inlineStr">
        <is>
          <t>N18(10,5,3) — Rive bord long</t>
        </is>
      </c>
    </row>
    <row r="22" ht="14" customHeight="1">
      <c r="A22" s="20" t="n">
        <v>19</v>
      </c>
      <c r="B22" s="21" t="n">
        <v>0</v>
      </c>
      <c r="C22" s="21" t="n">
        <v>10</v>
      </c>
      <c r="D22" s="21" t="n">
        <v>3</v>
      </c>
      <c r="E22" s="19" t="inlineStr">
        <is>
          <t>N19(0,10,3) — Rive bord long</t>
        </is>
      </c>
    </row>
    <row r="23" ht="14" customHeight="1">
      <c r="A23" s="20" t="n">
        <v>20</v>
      </c>
      <c r="B23" s="21" t="n">
        <v>5</v>
      </c>
      <c r="C23" s="21" t="n">
        <v>10</v>
      </c>
      <c r="D23" s="21" t="n">
        <v>3</v>
      </c>
      <c r="E23" s="19" t="inlineStr">
        <is>
          <t>N20(5,10,3) — Interieur</t>
        </is>
      </c>
    </row>
    <row r="24" ht="14" customHeight="1">
      <c r="A24" s="20" t="n">
        <v>21</v>
      </c>
      <c r="B24" s="21" t="n">
        <v>10</v>
      </c>
      <c r="C24" s="21" t="n">
        <v>10</v>
      </c>
      <c r="D24" s="21" t="n">
        <v>3</v>
      </c>
      <c r="E24" s="19" t="inlineStr">
        <is>
          <t>N21(10,10,3) — Rive bord long</t>
        </is>
      </c>
    </row>
    <row r="25" ht="14" customHeight="1">
      <c r="A25" s="20" t="n">
        <v>22</v>
      </c>
      <c r="B25" s="21" t="n">
        <v>0</v>
      </c>
      <c r="C25" s="21" t="n">
        <v>15</v>
      </c>
      <c r="D25" s="21" t="n">
        <v>3</v>
      </c>
      <c r="E25" s="19" t="inlineStr">
        <is>
          <t>N22(0,15,3) — Angle</t>
        </is>
      </c>
    </row>
    <row r="26" ht="14" customHeight="1">
      <c r="A26" s="20" t="n">
        <v>23</v>
      </c>
      <c r="B26" s="21" t="n">
        <v>5</v>
      </c>
      <c r="C26" s="21" t="n">
        <v>15</v>
      </c>
      <c r="D26" s="21" t="n">
        <v>3</v>
      </c>
      <c r="E26" s="19" t="inlineStr">
        <is>
          <t>N23(5,15,3) — Rive bord court</t>
        </is>
      </c>
    </row>
    <row r="27" ht="14" customHeight="1">
      <c r="A27" s="20" t="n">
        <v>24</v>
      </c>
      <c r="B27" s="21" t="n">
        <v>10</v>
      </c>
      <c r="C27" s="21" t="n">
        <v>15</v>
      </c>
      <c r="D27" s="21" t="n">
        <v>3</v>
      </c>
      <c r="E27" s="19" t="inlineStr">
        <is>
          <t>N24(10,15,3) — Angle</t>
        </is>
      </c>
    </row>
    <row r="28" ht="14" customHeight="1">
      <c r="A28" s="17" t="n">
        <v>25</v>
      </c>
      <c r="B28" s="18" t="n">
        <v>0</v>
      </c>
      <c r="C28" s="18" t="n">
        <v>0</v>
      </c>
      <c r="D28" s="18" t="n">
        <v>6</v>
      </c>
      <c r="E28" s="19" t="inlineStr">
        <is>
          <t>N25(0,0,6) — Angle</t>
        </is>
      </c>
    </row>
    <row r="29" ht="14" customHeight="1">
      <c r="A29" s="17" t="n">
        <v>26</v>
      </c>
      <c r="B29" s="18" t="n">
        <v>5</v>
      </c>
      <c r="C29" s="18" t="n">
        <v>0</v>
      </c>
      <c r="D29" s="18" t="n">
        <v>6</v>
      </c>
      <c r="E29" s="19" t="inlineStr">
        <is>
          <t>N26(5,0,6) — Rive bord court</t>
        </is>
      </c>
    </row>
    <row r="30" ht="14" customHeight="1">
      <c r="A30" s="17" t="n">
        <v>27</v>
      </c>
      <c r="B30" s="18" t="n">
        <v>10</v>
      </c>
      <c r="C30" s="18" t="n">
        <v>0</v>
      </c>
      <c r="D30" s="18" t="n">
        <v>6</v>
      </c>
      <c r="E30" s="19" t="inlineStr">
        <is>
          <t>N27(10,0,6) — Angle</t>
        </is>
      </c>
    </row>
    <row r="31" ht="14" customHeight="1">
      <c r="A31" s="17" t="n">
        <v>28</v>
      </c>
      <c r="B31" s="18" t="n">
        <v>0</v>
      </c>
      <c r="C31" s="18" t="n">
        <v>5</v>
      </c>
      <c r="D31" s="18" t="n">
        <v>6</v>
      </c>
      <c r="E31" s="19" t="inlineStr">
        <is>
          <t>N28(0,5,6) — Rive bord long</t>
        </is>
      </c>
    </row>
    <row r="32" ht="14" customHeight="1">
      <c r="A32" s="17" t="n">
        <v>29</v>
      </c>
      <c r="B32" s="18" t="n">
        <v>5</v>
      </c>
      <c r="C32" s="18" t="n">
        <v>5</v>
      </c>
      <c r="D32" s="18" t="n">
        <v>6</v>
      </c>
      <c r="E32" s="19" t="inlineStr">
        <is>
          <t>N29(5,5,6) — Interieur</t>
        </is>
      </c>
    </row>
    <row r="33" ht="14" customHeight="1">
      <c r="A33" s="17" t="n">
        <v>30</v>
      </c>
      <c r="B33" s="18" t="n">
        <v>10</v>
      </c>
      <c r="C33" s="18" t="n">
        <v>5</v>
      </c>
      <c r="D33" s="18" t="n">
        <v>6</v>
      </c>
      <c r="E33" s="19" t="inlineStr">
        <is>
          <t>N30(10,5,6) — Rive bord long</t>
        </is>
      </c>
    </row>
    <row r="34" ht="14" customHeight="1">
      <c r="A34" s="17" t="n">
        <v>31</v>
      </c>
      <c r="B34" s="18" t="n">
        <v>0</v>
      </c>
      <c r="C34" s="18" t="n">
        <v>10</v>
      </c>
      <c r="D34" s="18" t="n">
        <v>6</v>
      </c>
      <c r="E34" s="19" t="inlineStr">
        <is>
          <t>N31(0,10,6) — Rive bord long</t>
        </is>
      </c>
    </row>
    <row r="35" ht="14" customHeight="1">
      <c r="A35" s="17" t="n">
        <v>32</v>
      </c>
      <c r="B35" s="18" t="n">
        <v>5</v>
      </c>
      <c r="C35" s="18" t="n">
        <v>10</v>
      </c>
      <c r="D35" s="18" t="n">
        <v>6</v>
      </c>
      <c r="E35" s="19" t="inlineStr">
        <is>
          <t>N32(5,10,6) — Interieur</t>
        </is>
      </c>
    </row>
    <row r="36" ht="14" customHeight="1">
      <c r="A36" s="17" t="n">
        <v>33</v>
      </c>
      <c r="B36" s="18" t="n">
        <v>10</v>
      </c>
      <c r="C36" s="18" t="n">
        <v>10</v>
      </c>
      <c r="D36" s="18" t="n">
        <v>6</v>
      </c>
      <c r="E36" s="19" t="inlineStr">
        <is>
          <t>N33(10,10,6) — Rive bord long</t>
        </is>
      </c>
    </row>
    <row r="37" ht="14" customHeight="1">
      <c r="A37" s="17" t="n">
        <v>34</v>
      </c>
      <c r="B37" s="18" t="n">
        <v>0</v>
      </c>
      <c r="C37" s="18" t="n">
        <v>15</v>
      </c>
      <c r="D37" s="18" t="n">
        <v>6</v>
      </c>
      <c r="E37" s="19" t="inlineStr">
        <is>
          <t>N34(0,15,6) — Angle</t>
        </is>
      </c>
    </row>
    <row r="38" ht="14" customHeight="1">
      <c r="A38" s="17" t="n">
        <v>35</v>
      </c>
      <c r="B38" s="18" t="n">
        <v>5</v>
      </c>
      <c r="C38" s="18" t="n">
        <v>15</v>
      </c>
      <c r="D38" s="18" t="n">
        <v>6</v>
      </c>
      <c r="E38" s="19" t="inlineStr">
        <is>
          <t>N35(5,15,6) — Rive bord court</t>
        </is>
      </c>
    </row>
    <row r="39" ht="14" customHeight="1">
      <c r="A39" s="17" t="n">
        <v>36</v>
      </c>
      <c r="B39" s="18" t="n">
        <v>10</v>
      </c>
      <c r="C39" s="18" t="n">
        <v>15</v>
      </c>
      <c r="D39" s="18" t="n">
        <v>6</v>
      </c>
      <c r="E39" s="19" t="inlineStr">
        <is>
          <t>N36(10,15,6) — Angle</t>
        </is>
      </c>
    </row>
    <row r="40" ht="14" customHeight="1">
      <c r="A40" s="20" t="n">
        <v>37</v>
      </c>
      <c r="B40" s="21" t="n">
        <v>0</v>
      </c>
      <c r="C40" s="21" t="n">
        <v>0</v>
      </c>
      <c r="D40" s="21" t="n">
        <v>9</v>
      </c>
      <c r="E40" s="19" t="inlineStr">
        <is>
          <t>N37(0,0,9) — Angle</t>
        </is>
      </c>
    </row>
    <row r="41" ht="14" customHeight="1">
      <c r="A41" s="20" t="n">
        <v>38</v>
      </c>
      <c r="B41" s="21" t="n">
        <v>5</v>
      </c>
      <c r="C41" s="21" t="n">
        <v>0</v>
      </c>
      <c r="D41" s="21" t="n">
        <v>9</v>
      </c>
      <c r="E41" s="19" t="inlineStr">
        <is>
          <t>N38(5,0,9) — Rive bord court</t>
        </is>
      </c>
    </row>
    <row r="42" ht="14" customHeight="1">
      <c r="A42" s="20" t="n">
        <v>39</v>
      </c>
      <c r="B42" s="21" t="n">
        <v>10</v>
      </c>
      <c r="C42" s="21" t="n">
        <v>0</v>
      </c>
      <c r="D42" s="21" t="n">
        <v>9</v>
      </c>
      <c r="E42" s="19" t="inlineStr">
        <is>
          <t>N39(10,0,9) — Angle</t>
        </is>
      </c>
    </row>
    <row r="43" ht="14" customHeight="1">
      <c r="A43" s="20" t="n">
        <v>40</v>
      </c>
      <c r="B43" s="21" t="n">
        <v>0</v>
      </c>
      <c r="C43" s="21" t="n">
        <v>5</v>
      </c>
      <c r="D43" s="21" t="n">
        <v>9</v>
      </c>
      <c r="E43" s="19" t="inlineStr">
        <is>
          <t>N40(0,5,9) — Rive bord long</t>
        </is>
      </c>
    </row>
    <row r="44" ht="14" customHeight="1">
      <c r="A44" s="20" t="n">
        <v>41</v>
      </c>
      <c r="B44" s="21" t="n">
        <v>5</v>
      </c>
      <c r="C44" s="21" t="n">
        <v>5</v>
      </c>
      <c r="D44" s="21" t="n">
        <v>9</v>
      </c>
      <c r="E44" s="19" t="inlineStr">
        <is>
          <t>N41(5,5,9) — Interieur</t>
        </is>
      </c>
    </row>
    <row r="45" ht="14" customHeight="1">
      <c r="A45" s="20" t="n">
        <v>42</v>
      </c>
      <c r="B45" s="21" t="n">
        <v>10</v>
      </c>
      <c r="C45" s="21" t="n">
        <v>5</v>
      </c>
      <c r="D45" s="21" t="n">
        <v>9</v>
      </c>
      <c r="E45" s="19" t="inlineStr">
        <is>
          <t>N42(10,5,9) — Rive bord long</t>
        </is>
      </c>
    </row>
    <row r="46" ht="14" customHeight="1">
      <c r="A46" s="20" t="n">
        <v>43</v>
      </c>
      <c r="B46" s="21" t="n">
        <v>0</v>
      </c>
      <c r="C46" s="21" t="n">
        <v>10</v>
      </c>
      <c r="D46" s="21" t="n">
        <v>9</v>
      </c>
      <c r="E46" s="19" t="inlineStr">
        <is>
          <t>N43(0,10,9) — Rive bord long</t>
        </is>
      </c>
    </row>
    <row r="47" ht="14" customHeight="1">
      <c r="A47" s="20" t="n">
        <v>44</v>
      </c>
      <c r="B47" s="21" t="n">
        <v>5</v>
      </c>
      <c r="C47" s="21" t="n">
        <v>10</v>
      </c>
      <c r="D47" s="21" t="n">
        <v>9</v>
      </c>
      <c r="E47" s="19" t="inlineStr">
        <is>
          <t>N44(5,10,9) — Interieur</t>
        </is>
      </c>
    </row>
    <row r="48" ht="14" customHeight="1">
      <c r="A48" s="20" t="n">
        <v>45</v>
      </c>
      <c r="B48" s="21" t="n">
        <v>10</v>
      </c>
      <c r="C48" s="21" t="n">
        <v>10</v>
      </c>
      <c r="D48" s="21" t="n">
        <v>9</v>
      </c>
      <c r="E48" s="19" t="inlineStr">
        <is>
          <t>N45(10,10,9) — Rive bord long</t>
        </is>
      </c>
    </row>
    <row r="49" ht="14" customHeight="1">
      <c r="A49" s="20" t="n">
        <v>46</v>
      </c>
      <c r="B49" s="21" t="n">
        <v>0</v>
      </c>
      <c r="C49" s="21" t="n">
        <v>15</v>
      </c>
      <c r="D49" s="21" t="n">
        <v>9</v>
      </c>
      <c r="E49" s="19" t="inlineStr">
        <is>
          <t>N46(0,15,9) — Angle</t>
        </is>
      </c>
    </row>
    <row r="50" ht="14" customHeight="1">
      <c r="A50" s="20" t="n">
        <v>47</v>
      </c>
      <c r="B50" s="21" t="n">
        <v>5</v>
      </c>
      <c r="C50" s="21" t="n">
        <v>15</v>
      </c>
      <c r="D50" s="21" t="n">
        <v>9</v>
      </c>
      <c r="E50" s="19" t="inlineStr">
        <is>
          <t>N47(5,15,9) — Rive bord court</t>
        </is>
      </c>
    </row>
    <row r="51" ht="14" customHeight="1">
      <c r="A51" s="20" t="n">
        <v>48</v>
      </c>
      <c r="B51" s="21" t="n">
        <v>10</v>
      </c>
      <c r="C51" s="21" t="n">
        <v>15</v>
      </c>
      <c r="D51" s="21" t="n">
        <v>9</v>
      </c>
      <c r="E51" s="19" t="inlineStr">
        <is>
          <t>N48(10,15,9) — Angle</t>
        </is>
      </c>
    </row>
    <row r="52" ht="14" customHeight="1">
      <c r="A52" s="17" t="n">
        <v>49</v>
      </c>
      <c r="B52" s="18" t="n">
        <v>0</v>
      </c>
      <c r="C52" s="18" t="n">
        <v>0</v>
      </c>
      <c r="D52" s="18" t="n">
        <v>12</v>
      </c>
      <c r="E52" s="19" t="inlineStr">
        <is>
          <t>N49(0,0,12) — Angle</t>
        </is>
      </c>
    </row>
    <row r="53" ht="14" customHeight="1">
      <c r="A53" s="17" t="n">
        <v>50</v>
      </c>
      <c r="B53" s="18" t="n">
        <v>5</v>
      </c>
      <c r="C53" s="18" t="n">
        <v>0</v>
      </c>
      <c r="D53" s="18" t="n">
        <v>12</v>
      </c>
      <c r="E53" s="19" t="inlineStr">
        <is>
          <t>N50(5,0,12) — Rive bord court</t>
        </is>
      </c>
    </row>
    <row r="54" ht="14" customHeight="1">
      <c r="A54" s="17" t="n">
        <v>51</v>
      </c>
      <c r="B54" s="18" t="n">
        <v>10</v>
      </c>
      <c r="C54" s="18" t="n">
        <v>0</v>
      </c>
      <c r="D54" s="18" t="n">
        <v>12</v>
      </c>
      <c r="E54" s="19" t="inlineStr">
        <is>
          <t>N51(10,0,12) — Angle</t>
        </is>
      </c>
    </row>
    <row r="55" ht="14" customHeight="1">
      <c r="A55" s="17" t="n">
        <v>52</v>
      </c>
      <c r="B55" s="18" t="n">
        <v>0</v>
      </c>
      <c r="C55" s="18" t="n">
        <v>5</v>
      </c>
      <c r="D55" s="18" t="n">
        <v>12</v>
      </c>
      <c r="E55" s="19" t="inlineStr">
        <is>
          <t>N52(0,5,12) — Rive bord long</t>
        </is>
      </c>
    </row>
    <row r="56" ht="14" customHeight="1">
      <c r="A56" s="17" t="n">
        <v>53</v>
      </c>
      <c r="B56" s="18" t="n">
        <v>5</v>
      </c>
      <c r="C56" s="18" t="n">
        <v>5</v>
      </c>
      <c r="D56" s="18" t="n">
        <v>12</v>
      </c>
      <c r="E56" s="19" t="inlineStr">
        <is>
          <t>N53(5,5,12) — Interieur</t>
        </is>
      </c>
    </row>
    <row r="57" ht="14" customHeight="1">
      <c r="A57" s="17" t="n">
        <v>54</v>
      </c>
      <c r="B57" s="18" t="n">
        <v>10</v>
      </c>
      <c r="C57" s="18" t="n">
        <v>5</v>
      </c>
      <c r="D57" s="18" t="n">
        <v>12</v>
      </c>
      <c r="E57" s="19" t="inlineStr">
        <is>
          <t>N54(10,5,12) — Rive bord long</t>
        </is>
      </c>
    </row>
    <row r="58" ht="14" customHeight="1">
      <c r="A58" s="17" t="n">
        <v>55</v>
      </c>
      <c r="B58" s="18" t="n">
        <v>0</v>
      </c>
      <c r="C58" s="18" t="n">
        <v>10</v>
      </c>
      <c r="D58" s="18" t="n">
        <v>12</v>
      </c>
      <c r="E58" s="19" t="inlineStr">
        <is>
          <t>N55(0,10,12) — Rive bord long</t>
        </is>
      </c>
    </row>
    <row r="59" ht="14" customHeight="1">
      <c r="A59" s="17" t="n">
        <v>56</v>
      </c>
      <c r="B59" s="18" t="n">
        <v>5</v>
      </c>
      <c r="C59" s="18" t="n">
        <v>10</v>
      </c>
      <c r="D59" s="18" t="n">
        <v>12</v>
      </c>
      <c r="E59" s="19" t="inlineStr">
        <is>
          <t>N56(5,10,12) — Interieur</t>
        </is>
      </c>
    </row>
    <row r="60" ht="14" customHeight="1">
      <c r="A60" s="17" t="n">
        <v>57</v>
      </c>
      <c r="B60" s="18" t="n">
        <v>10</v>
      </c>
      <c r="C60" s="18" t="n">
        <v>10</v>
      </c>
      <c r="D60" s="18" t="n">
        <v>12</v>
      </c>
      <c r="E60" s="19" t="inlineStr">
        <is>
          <t>N57(10,10,12) — Rive bord long</t>
        </is>
      </c>
    </row>
    <row r="61" ht="14" customHeight="1">
      <c r="A61" s="17" t="n">
        <v>58</v>
      </c>
      <c r="B61" s="18" t="n">
        <v>0</v>
      </c>
      <c r="C61" s="18" t="n">
        <v>15</v>
      </c>
      <c r="D61" s="18" t="n">
        <v>12</v>
      </c>
      <c r="E61" s="19" t="inlineStr">
        <is>
          <t>N58(0,15,12) — Angle</t>
        </is>
      </c>
    </row>
    <row r="62" ht="14" customHeight="1">
      <c r="A62" s="17" t="n">
        <v>59</v>
      </c>
      <c r="B62" s="18" t="n">
        <v>5</v>
      </c>
      <c r="C62" s="18" t="n">
        <v>15</v>
      </c>
      <c r="D62" s="18" t="n">
        <v>12</v>
      </c>
      <c r="E62" s="19" t="inlineStr">
        <is>
          <t>N59(5,15,12) — Rive bord court</t>
        </is>
      </c>
    </row>
    <row r="63" ht="14" customHeight="1">
      <c r="A63" s="17" t="n">
        <v>60</v>
      </c>
      <c r="B63" s="18" t="n">
        <v>10</v>
      </c>
      <c r="C63" s="18" t="n">
        <v>15</v>
      </c>
      <c r="D63" s="18" t="n">
        <v>12</v>
      </c>
      <c r="E63" s="19" t="inlineStr">
        <is>
          <t>N60(10,15,12) — Angle</t>
        </is>
      </c>
    </row>
    <row r="64" ht="14" customHeight="1">
      <c r="A64" s="22" t="n"/>
      <c r="B64" s="22" t="n"/>
      <c r="C64" s="22" t="n"/>
      <c r="D64" s="22" t="n"/>
      <c r="E64" s="22" t="n"/>
    </row>
    <row r="65" ht="14" customHeight="1">
      <c r="A65" s="23" t="n"/>
      <c r="B65" s="23" t="n"/>
      <c r="C65" s="23" t="n"/>
      <c r="D65" s="23" t="n"/>
      <c r="E65" s="23" t="n"/>
    </row>
    <row r="66" ht="14" customHeight="1">
      <c r="A66" s="22" t="n"/>
      <c r="B66" s="22" t="n"/>
      <c r="C66" s="22" t="n"/>
      <c r="D66" s="22" t="n"/>
      <c r="E66" s="22" t="n"/>
    </row>
    <row r="67" ht="14" customHeight="1">
      <c r="A67" s="23" t="n"/>
      <c r="B67" s="23" t="n"/>
      <c r="C67" s="23" t="n"/>
      <c r="D67" s="23" t="n"/>
      <c r="E67" s="23" t="n"/>
    </row>
    <row r="68" ht="14" customHeight="1">
      <c r="A68" s="22" t="n"/>
      <c r="B68" s="22" t="n"/>
      <c r="C68" s="22" t="n"/>
      <c r="D68" s="22" t="n"/>
      <c r="E68" s="22" t="n"/>
    </row>
    <row r="69" ht="14" customHeight="1">
      <c r="A69" s="23" t="n"/>
      <c r="B69" s="23" t="n"/>
      <c r="C69" s="23" t="n"/>
      <c r="D69" s="23" t="n"/>
      <c r="E69" s="23" t="n"/>
    </row>
    <row r="70" ht="14" customHeight="1">
      <c r="A70" s="22" t="n"/>
      <c r="B70" s="22" t="n"/>
      <c r="C70" s="22" t="n"/>
      <c r="D70" s="22" t="n"/>
      <c r="E70" s="22" t="n"/>
    </row>
    <row r="71" ht="14" customHeight="1">
      <c r="A71" s="23" t="n"/>
      <c r="B71" s="23" t="n"/>
      <c r="C71" s="23" t="n"/>
      <c r="D71" s="23" t="n"/>
      <c r="E71" s="23" t="n"/>
    </row>
    <row r="72" ht="14" customHeight="1">
      <c r="A72" s="22" t="n"/>
      <c r="B72" s="22" t="n"/>
      <c r="C72" s="22" t="n"/>
      <c r="D72" s="22" t="n"/>
      <c r="E72" s="22" t="n"/>
    </row>
    <row r="73" ht="14" customHeight="1">
      <c r="A73" s="23" t="n"/>
      <c r="B73" s="23" t="n"/>
      <c r="C73" s="23" t="n"/>
      <c r="D73" s="23" t="n"/>
      <c r="E73" s="23" t="n"/>
    </row>
    <row r="74" ht="14" customHeight="1">
      <c r="A74" s="22" t="n"/>
      <c r="B74" s="22" t="n"/>
      <c r="C74" s="22" t="n"/>
      <c r="D74" s="22" t="n"/>
      <c r="E74" s="22" t="n"/>
    </row>
    <row r="75" ht="14" customHeight="1">
      <c r="A75" s="23" t="n"/>
      <c r="B75" s="23" t="n"/>
      <c r="C75" s="23" t="n"/>
      <c r="D75" s="23" t="n"/>
      <c r="E75" s="23" t="n"/>
    </row>
    <row r="76" ht="14" customHeight="1">
      <c r="A76" s="22" t="n"/>
      <c r="B76" s="22" t="n"/>
      <c r="C76" s="22" t="n"/>
      <c r="D76" s="22" t="n"/>
      <c r="E76" s="22" t="n"/>
    </row>
    <row r="77" ht="14" customHeight="1">
      <c r="A77" s="23" t="n"/>
      <c r="B77" s="23" t="n"/>
      <c r="C77" s="23" t="n"/>
      <c r="D77" s="23" t="n"/>
      <c r="E77" s="23" t="n"/>
    </row>
    <row r="78" ht="14" customHeight="1">
      <c r="A78" s="22" t="n"/>
      <c r="B78" s="22" t="n"/>
      <c r="C78" s="22" t="n"/>
      <c r="D78" s="22" t="n"/>
      <c r="E78" s="22" t="n"/>
    </row>
    <row r="79" ht="14" customHeight="1">
      <c r="A79" s="23" t="n"/>
      <c r="B79" s="23" t="n"/>
      <c r="C79" s="23" t="n"/>
      <c r="D79" s="23" t="n"/>
      <c r="E79" s="23" t="n"/>
    </row>
    <row r="80" ht="14" customHeight="1">
      <c r="A80" s="22" t="n"/>
      <c r="B80" s="22" t="n"/>
      <c r="C80" s="22" t="n"/>
      <c r="D80" s="22" t="n"/>
      <c r="E80" s="22" t="n"/>
    </row>
    <row r="81" ht="14" customHeight="1">
      <c r="A81" s="23" t="n"/>
      <c r="B81" s="23" t="n"/>
      <c r="C81" s="23" t="n"/>
      <c r="D81" s="23" t="n"/>
      <c r="E81" s="23" t="n"/>
    </row>
    <row r="82" ht="14" customHeight="1">
      <c r="A82" s="22" t="n"/>
      <c r="B82" s="22" t="n"/>
      <c r="C82" s="22" t="n"/>
      <c r="D82" s="22" t="n"/>
      <c r="E82" s="22" t="n"/>
    </row>
    <row r="83" ht="14" customHeight="1">
      <c r="A83" s="23" t="n"/>
      <c r="B83" s="23" t="n"/>
      <c r="C83" s="23" t="n"/>
      <c r="D83" s="23" t="n"/>
      <c r="E83" s="23" t="n"/>
    </row>
    <row r="84" ht="14" customHeight="1">
      <c r="A84" s="22" t="n"/>
      <c r="B84" s="22" t="n"/>
      <c r="C84" s="22" t="n"/>
      <c r="D84" s="22" t="n"/>
      <c r="E84" s="22" t="n"/>
    </row>
    <row r="85" ht="14" customHeight="1">
      <c r="A85" s="23" t="n"/>
      <c r="B85" s="23" t="n"/>
      <c r="C85" s="23" t="n"/>
      <c r="D85" s="23" t="n"/>
      <c r="E85" s="23" t="n"/>
    </row>
    <row r="86" ht="14" customHeight="1">
      <c r="A86" s="22" t="n"/>
      <c r="B86" s="22" t="n"/>
      <c r="C86" s="22" t="n"/>
      <c r="D86" s="22" t="n"/>
      <c r="E86" s="22" t="n"/>
    </row>
    <row r="87" ht="14" customHeight="1">
      <c r="A87" s="23" t="n"/>
      <c r="B87" s="23" t="n"/>
      <c r="C87" s="23" t="n"/>
      <c r="D87" s="23" t="n"/>
      <c r="E87" s="23" t="n"/>
    </row>
    <row r="88" ht="14" customHeight="1">
      <c r="A88" s="22" t="n"/>
      <c r="B88" s="22" t="n"/>
      <c r="C88" s="22" t="n"/>
      <c r="D88" s="22" t="n"/>
      <c r="E88" s="22" t="n"/>
    </row>
    <row r="89" ht="14" customHeight="1">
      <c r="A89" s="23" t="n"/>
      <c r="B89" s="23" t="n"/>
      <c r="C89" s="23" t="n"/>
      <c r="D89" s="23" t="n"/>
      <c r="E89" s="23" t="n"/>
    </row>
    <row r="90" ht="14" customHeight="1">
      <c r="A90" s="22" t="n"/>
      <c r="B90" s="22" t="n"/>
      <c r="C90" s="22" t="n"/>
      <c r="D90" s="22" t="n"/>
      <c r="E90" s="22" t="n"/>
    </row>
    <row r="91" ht="14" customHeight="1">
      <c r="A91" s="23" t="n"/>
      <c r="B91" s="23" t="n"/>
      <c r="C91" s="23" t="n"/>
      <c r="D91" s="23" t="n"/>
      <c r="E91" s="23" t="n"/>
    </row>
    <row r="92" ht="14" customHeight="1">
      <c r="A92" s="22" t="n"/>
      <c r="B92" s="22" t="n"/>
      <c r="C92" s="22" t="n"/>
      <c r="D92" s="22" t="n"/>
      <c r="E92" s="22" t="n"/>
    </row>
    <row r="93" ht="14" customHeight="1">
      <c r="A93" s="23" t="n"/>
      <c r="B93" s="23" t="n"/>
      <c r="C93" s="23" t="n"/>
      <c r="D93" s="23" t="n"/>
      <c r="E93" s="23" t="n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6" customWidth="1" min="3" max="3"/>
    <col width="6" customWidth="1" min="4" max="4"/>
    <col width="10" customWidth="1" min="5" max="5"/>
    <col width="10" customWidth="1" min="6" max="6"/>
    <col width="7" customWidth="1" min="7" max="7"/>
    <col width="7" customWidth="1" min="8" max="8"/>
    <col width="10" customWidth="1" min="9" max="9"/>
    <col width="10" customWidth="1" min="10" max="10"/>
    <col width="18" customWidth="1" min="11" max="11"/>
  </cols>
  <sheetData>
    <row r="1" ht="22" customHeight="1">
      <c r="A1" s="1" t="inlineStr">
        <is>
          <t xml:space="preserve">  BARRES — Poutres et poteaux</t>
        </is>
      </c>
    </row>
    <row r="2" ht="18" customHeight="1">
      <c r="A2" s="14" t="inlineStr">
        <is>
          <t>Type (poutre/poteau) et longueur calcules automatiquement depuis les coordonnees. G_add = charges permanentes sur la barre (cloisons, etc.) sans poids propre beton. Q_add = charges variables sur la barre.</t>
        </is>
      </c>
    </row>
    <row r="3" ht="30" customHeight="1">
      <c r="A3" s="24" t="inlineStr">
        <is>
          <t>ID</t>
        </is>
      </c>
      <c r="B3" s="24" t="inlineStr">
        <is>
          <t>Nom</t>
        </is>
      </c>
      <c r="C3" s="24" t="inlineStr">
        <is>
          <t>Ni</t>
        </is>
      </c>
      <c r="D3" s="24" t="inlineStr">
        <is>
          <t>Nj</t>
        </is>
      </c>
      <c r="E3" s="24" t="inlineStr">
        <is>
          <t>b (m)</t>
        </is>
      </c>
      <c r="F3" s="24" t="inlineStr">
        <is>
          <t>h (m)</t>
        </is>
      </c>
      <c r="G3" s="24" t="inlineStr">
        <is>
          <t>G_add
(kN/m)</t>
        </is>
      </c>
      <c r="H3" s="24" t="inlineStr">
        <is>
          <t>Q_add
(kN/m)</t>
        </is>
      </c>
      <c r="I3" s="25" t="inlineStr">
        <is>
          <t>Type
(auto)</t>
        </is>
      </c>
      <c r="J3" s="25" t="inlineStr">
        <is>
          <t>Long.
(auto)</t>
        </is>
      </c>
      <c r="K3" s="26" t="inlineStr">
        <is>
          <t>Repere</t>
        </is>
      </c>
    </row>
    <row r="4" ht="15" customHeight="1">
      <c r="A4" s="27" t="inlineStr">
        <is>
          <t xml:space="preserve">  POTEAUX</t>
        </is>
      </c>
    </row>
    <row r="5" ht="14" customHeight="1">
      <c r="A5" s="17" t="n">
        <v>1</v>
      </c>
      <c r="B5" s="17" t="inlineStr">
        <is>
          <t>C1</t>
        </is>
      </c>
      <c r="C5" s="28" t="n">
        <v>1</v>
      </c>
      <c r="D5" s="28" t="n">
        <v>13</v>
      </c>
      <c r="E5" s="29" t="n">
        <v>0.25</v>
      </c>
      <c r="F5" s="29" t="n">
        <v>0.25</v>
      </c>
      <c r="G5" s="29" t="n">
        <v>0</v>
      </c>
      <c r="H5" s="29" t="n">
        <v>0</v>
      </c>
      <c r="I5" s="30" t="inlineStr">
        <is>
          <t>poteau</t>
        </is>
      </c>
      <c r="J5" s="31" t="n">
        <v>3</v>
      </c>
      <c r="K5" s="19" t="inlineStr">
        <is>
          <t>C1 — Angle</t>
        </is>
      </c>
    </row>
    <row r="6" ht="14" customHeight="1">
      <c r="A6" s="20" t="n">
        <v>2</v>
      </c>
      <c r="B6" s="20" t="inlineStr">
        <is>
          <t>C2</t>
        </is>
      </c>
      <c r="C6" s="32" t="n">
        <v>2</v>
      </c>
      <c r="D6" s="32" t="n">
        <v>14</v>
      </c>
      <c r="E6" s="33" t="n">
        <v>0.25</v>
      </c>
      <c r="F6" s="33" t="n">
        <v>0.25</v>
      </c>
      <c r="G6" s="33" t="n">
        <v>0</v>
      </c>
      <c r="H6" s="33" t="n">
        <v>0</v>
      </c>
      <c r="I6" s="30" t="inlineStr">
        <is>
          <t>poteau</t>
        </is>
      </c>
      <c r="J6" s="31" t="n">
        <v>3</v>
      </c>
      <c r="K6" s="19" t="inlineStr">
        <is>
          <t>C2 — Rive bord court</t>
        </is>
      </c>
    </row>
    <row r="7" ht="14" customHeight="1">
      <c r="A7" s="17" t="n">
        <v>3</v>
      </c>
      <c r="B7" s="17" t="inlineStr">
        <is>
          <t>C3</t>
        </is>
      </c>
      <c r="C7" s="28" t="n">
        <v>3</v>
      </c>
      <c r="D7" s="28" t="n">
        <v>15</v>
      </c>
      <c r="E7" s="29" t="n">
        <v>0.25</v>
      </c>
      <c r="F7" s="29" t="n">
        <v>0.25</v>
      </c>
      <c r="G7" s="29" t="n">
        <v>0</v>
      </c>
      <c r="H7" s="29" t="n">
        <v>0</v>
      </c>
      <c r="I7" s="30" t="inlineStr">
        <is>
          <t>poteau</t>
        </is>
      </c>
      <c r="J7" s="31" t="n">
        <v>3</v>
      </c>
      <c r="K7" s="19" t="inlineStr">
        <is>
          <t>C3 — Angle</t>
        </is>
      </c>
    </row>
    <row r="8" ht="14" customHeight="1">
      <c r="A8" s="20" t="n">
        <v>4</v>
      </c>
      <c r="B8" s="20" t="inlineStr">
        <is>
          <t>C4</t>
        </is>
      </c>
      <c r="C8" s="32" t="n">
        <v>4</v>
      </c>
      <c r="D8" s="32" t="n">
        <v>16</v>
      </c>
      <c r="E8" s="33" t="n">
        <v>0.25</v>
      </c>
      <c r="F8" s="33" t="n">
        <v>0.25</v>
      </c>
      <c r="G8" s="33" t="n">
        <v>0</v>
      </c>
      <c r="H8" s="33" t="n">
        <v>0</v>
      </c>
      <c r="I8" s="30" t="inlineStr">
        <is>
          <t>poteau</t>
        </is>
      </c>
      <c r="J8" s="31" t="n">
        <v>3</v>
      </c>
      <c r="K8" s="19" t="inlineStr">
        <is>
          <t>C4 — Rive bord long</t>
        </is>
      </c>
    </row>
    <row r="9" ht="14" customHeight="1">
      <c r="A9" s="17" t="n">
        <v>5</v>
      </c>
      <c r="B9" s="17" t="inlineStr">
        <is>
          <t>C5</t>
        </is>
      </c>
      <c r="C9" s="28" t="n">
        <v>5</v>
      </c>
      <c r="D9" s="28" t="n">
        <v>17</v>
      </c>
      <c r="E9" s="29" t="n">
        <v>0.3</v>
      </c>
      <c r="F9" s="29" t="n">
        <v>0.3</v>
      </c>
      <c r="G9" s="29" t="n">
        <v>0</v>
      </c>
      <c r="H9" s="29" t="n">
        <v>0</v>
      </c>
      <c r="I9" s="30" t="inlineStr">
        <is>
          <t>poteau</t>
        </is>
      </c>
      <c r="J9" s="31" t="n">
        <v>3</v>
      </c>
      <c r="K9" s="19" t="inlineStr">
        <is>
          <t>C5 — Interieur</t>
        </is>
      </c>
    </row>
    <row r="10" ht="14" customHeight="1">
      <c r="A10" s="20" t="n">
        <v>6</v>
      </c>
      <c r="B10" s="20" t="inlineStr">
        <is>
          <t>C6</t>
        </is>
      </c>
      <c r="C10" s="32" t="n">
        <v>6</v>
      </c>
      <c r="D10" s="32" t="n">
        <v>18</v>
      </c>
      <c r="E10" s="33" t="n">
        <v>0.25</v>
      </c>
      <c r="F10" s="33" t="n">
        <v>0.25</v>
      </c>
      <c r="G10" s="33" t="n">
        <v>0</v>
      </c>
      <c r="H10" s="33" t="n">
        <v>0</v>
      </c>
      <c r="I10" s="30" t="inlineStr">
        <is>
          <t>poteau</t>
        </is>
      </c>
      <c r="J10" s="31" t="n">
        <v>3</v>
      </c>
      <c r="K10" s="19" t="inlineStr">
        <is>
          <t>C6 — Rive bord long</t>
        </is>
      </c>
    </row>
    <row r="11" ht="14" customHeight="1">
      <c r="A11" s="17" t="n">
        <v>7</v>
      </c>
      <c r="B11" s="17" t="inlineStr">
        <is>
          <t>C7</t>
        </is>
      </c>
      <c r="C11" s="28" t="n">
        <v>7</v>
      </c>
      <c r="D11" s="28" t="n">
        <v>19</v>
      </c>
      <c r="E11" s="29" t="n">
        <v>0.25</v>
      </c>
      <c r="F11" s="29" t="n">
        <v>0.25</v>
      </c>
      <c r="G11" s="29" t="n">
        <v>0</v>
      </c>
      <c r="H11" s="29" t="n">
        <v>0</v>
      </c>
      <c r="I11" s="30" t="inlineStr">
        <is>
          <t>poteau</t>
        </is>
      </c>
      <c r="J11" s="31" t="n">
        <v>3</v>
      </c>
      <c r="K11" s="19" t="inlineStr">
        <is>
          <t>C7 — Rive bord long</t>
        </is>
      </c>
    </row>
    <row r="12" ht="14" customHeight="1">
      <c r="A12" s="20" t="n">
        <v>8</v>
      </c>
      <c r="B12" s="20" t="inlineStr">
        <is>
          <t>C8</t>
        </is>
      </c>
      <c r="C12" s="32" t="n">
        <v>8</v>
      </c>
      <c r="D12" s="32" t="n">
        <v>20</v>
      </c>
      <c r="E12" s="33" t="n">
        <v>0.3</v>
      </c>
      <c r="F12" s="33" t="n">
        <v>0.3</v>
      </c>
      <c r="G12" s="33" t="n">
        <v>0</v>
      </c>
      <c r="H12" s="33" t="n">
        <v>0</v>
      </c>
      <c r="I12" s="30" t="inlineStr">
        <is>
          <t>poteau</t>
        </is>
      </c>
      <c r="J12" s="31" t="n">
        <v>3</v>
      </c>
      <c r="K12" s="19" t="inlineStr">
        <is>
          <t>C8 — Interieur</t>
        </is>
      </c>
    </row>
    <row r="13" ht="14" customHeight="1">
      <c r="A13" s="17" t="n">
        <v>9</v>
      </c>
      <c r="B13" s="17" t="inlineStr">
        <is>
          <t>C9</t>
        </is>
      </c>
      <c r="C13" s="28" t="n">
        <v>9</v>
      </c>
      <c r="D13" s="28" t="n">
        <v>21</v>
      </c>
      <c r="E13" s="29" t="n">
        <v>0.25</v>
      </c>
      <c r="F13" s="29" t="n">
        <v>0.25</v>
      </c>
      <c r="G13" s="29" t="n">
        <v>0</v>
      </c>
      <c r="H13" s="29" t="n">
        <v>0</v>
      </c>
      <c r="I13" s="30" t="inlineStr">
        <is>
          <t>poteau</t>
        </is>
      </c>
      <c r="J13" s="31" t="n">
        <v>3</v>
      </c>
      <c r="K13" s="19" t="inlineStr">
        <is>
          <t>C9 — Rive bord long</t>
        </is>
      </c>
    </row>
    <row r="14" ht="14" customHeight="1">
      <c r="A14" s="20" t="n">
        <v>10</v>
      </c>
      <c r="B14" s="20" t="inlineStr">
        <is>
          <t>C10</t>
        </is>
      </c>
      <c r="C14" s="32" t="n">
        <v>10</v>
      </c>
      <c r="D14" s="32" t="n">
        <v>22</v>
      </c>
      <c r="E14" s="33" t="n">
        <v>0.25</v>
      </c>
      <c r="F14" s="33" t="n">
        <v>0.25</v>
      </c>
      <c r="G14" s="33" t="n">
        <v>0</v>
      </c>
      <c r="H14" s="33" t="n">
        <v>0</v>
      </c>
      <c r="I14" s="30" t="inlineStr">
        <is>
          <t>poteau</t>
        </is>
      </c>
      <c r="J14" s="31" t="n">
        <v>3</v>
      </c>
      <c r="K14" s="19" t="inlineStr">
        <is>
          <t>C10 — Angle</t>
        </is>
      </c>
    </row>
    <row r="15" ht="14" customHeight="1">
      <c r="A15" s="17" t="n">
        <v>11</v>
      </c>
      <c r="B15" s="17" t="inlineStr">
        <is>
          <t>C11</t>
        </is>
      </c>
      <c r="C15" s="28" t="n">
        <v>11</v>
      </c>
      <c r="D15" s="28" t="n">
        <v>23</v>
      </c>
      <c r="E15" s="29" t="n">
        <v>0.25</v>
      </c>
      <c r="F15" s="29" t="n">
        <v>0.25</v>
      </c>
      <c r="G15" s="29" t="n">
        <v>0</v>
      </c>
      <c r="H15" s="29" t="n">
        <v>0</v>
      </c>
      <c r="I15" s="30" t="inlineStr">
        <is>
          <t>poteau</t>
        </is>
      </c>
      <c r="J15" s="31" t="n">
        <v>3</v>
      </c>
      <c r="K15" s="19" t="inlineStr">
        <is>
          <t>C11 — Rive bord court</t>
        </is>
      </c>
    </row>
    <row r="16" ht="14" customHeight="1">
      <c r="A16" s="20" t="n">
        <v>12</v>
      </c>
      <c r="B16" s="20" t="inlineStr">
        <is>
          <t>C12</t>
        </is>
      </c>
      <c r="C16" s="32" t="n">
        <v>12</v>
      </c>
      <c r="D16" s="32" t="n">
        <v>24</v>
      </c>
      <c r="E16" s="33" t="n">
        <v>0.25</v>
      </c>
      <c r="F16" s="33" t="n">
        <v>0.25</v>
      </c>
      <c r="G16" s="33" t="n">
        <v>0</v>
      </c>
      <c r="H16" s="33" t="n">
        <v>0</v>
      </c>
      <c r="I16" s="30" t="inlineStr">
        <is>
          <t>poteau</t>
        </is>
      </c>
      <c r="J16" s="31" t="n">
        <v>3</v>
      </c>
      <c r="K16" s="19" t="inlineStr">
        <is>
          <t>C12 — Angle</t>
        </is>
      </c>
    </row>
    <row r="17" ht="14" customHeight="1">
      <c r="A17" s="17" t="n">
        <v>13</v>
      </c>
      <c r="B17" s="17" t="inlineStr">
        <is>
          <t>C13</t>
        </is>
      </c>
      <c r="C17" s="28" t="n">
        <v>13</v>
      </c>
      <c r="D17" s="28" t="n">
        <v>25</v>
      </c>
      <c r="E17" s="29" t="n">
        <v>0.25</v>
      </c>
      <c r="F17" s="29" t="n">
        <v>0.25</v>
      </c>
      <c r="G17" s="29" t="n">
        <v>0</v>
      </c>
      <c r="H17" s="29" t="n">
        <v>0</v>
      </c>
      <c r="I17" s="30" t="inlineStr">
        <is>
          <t>poteau</t>
        </is>
      </c>
      <c r="J17" s="31" t="n">
        <v>3</v>
      </c>
      <c r="K17" s="19" t="inlineStr">
        <is>
          <t>C13 — Angle</t>
        </is>
      </c>
    </row>
    <row r="18" ht="14" customHeight="1">
      <c r="A18" s="20" t="n">
        <v>14</v>
      </c>
      <c r="B18" s="20" t="inlineStr">
        <is>
          <t>C14</t>
        </is>
      </c>
      <c r="C18" s="32" t="n">
        <v>14</v>
      </c>
      <c r="D18" s="32" t="n">
        <v>26</v>
      </c>
      <c r="E18" s="33" t="n">
        <v>0.25</v>
      </c>
      <c r="F18" s="33" t="n">
        <v>0.25</v>
      </c>
      <c r="G18" s="33" t="n">
        <v>0</v>
      </c>
      <c r="H18" s="33" t="n">
        <v>0</v>
      </c>
      <c r="I18" s="30" t="inlineStr">
        <is>
          <t>poteau</t>
        </is>
      </c>
      <c r="J18" s="31" t="n">
        <v>3</v>
      </c>
      <c r="K18" s="19" t="inlineStr">
        <is>
          <t>C14 — Rive bord court</t>
        </is>
      </c>
    </row>
    <row r="19" ht="14" customHeight="1">
      <c r="A19" s="17" t="n">
        <v>15</v>
      </c>
      <c r="B19" s="17" t="inlineStr">
        <is>
          <t>C15</t>
        </is>
      </c>
      <c r="C19" s="28" t="n">
        <v>15</v>
      </c>
      <c r="D19" s="28" t="n">
        <v>27</v>
      </c>
      <c r="E19" s="29" t="n">
        <v>0.25</v>
      </c>
      <c r="F19" s="29" t="n">
        <v>0.25</v>
      </c>
      <c r="G19" s="29" t="n">
        <v>0</v>
      </c>
      <c r="H19" s="29" t="n">
        <v>0</v>
      </c>
      <c r="I19" s="30" t="inlineStr">
        <is>
          <t>poteau</t>
        </is>
      </c>
      <c r="J19" s="31" t="n">
        <v>3</v>
      </c>
      <c r="K19" s="19" t="inlineStr">
        <is>
          <t>C15 — Angle</t>
        </is>
      </c>
    </row>
    <row r="20" ht="14" customHeight="1">
      <c r="A20" s="20" t="n">
        <v>16</v>
      </c>
      <c r="B20" s="20" t="inlineStr">
        <is>
          <t>C16</t>
        </is>
      </c>
      <c r="C20" s="32" t="n">
        <v>16</v>
      </c>
      <c r="D20" s="32" t="n">
        <v>28</v>
      </c>
      <c r="E20" s="33" t="n">
        <v>0.25</v>
      </c>
      <c r="F20" s="33" t="n">
        <v>0.25</v>
      </c>
      <c r="G20" s="33" t="n">
        <v>0</v>
      </c>
      <c r="H20" s="33" t="n">
        <v>0</v>
      </c>
      <c r="I20" s="30" t="inlineStr">
        <is>
          <t>poteau</t>
        </is>
      </c>
      <c r="J20" s="31" t="n">
        <v>3</v>
      </c>
      <c r="K20" s="19" t="inlineStr">
        <is>
          <t>C16 — Rive bord long</t>
        </is>
      </c>
    </row>
    <row r="21" ht="14" customHeight="1">
      <c r="A21" s="17" t="n">
        <v>17</v>
      </c>
      <c r="B21" s="17" t="inlineStr">
        <is>
          <t>C17</t>
        </is>
      </c>
      <c r="C21" s="28" t="n">
        <v>17</v>
      </c>
      <c r="D21" s="28" t="n">
        <v>29</v>
      </c>
      <c r="E21" s="29" t="n">
        <v>0.3</v>
      </c>
      <c r="F21" s="29" t="n">
        <v>0.3</v>
      </c>
      <c r="G21" s="29" t="n">
        <v>0</v>
      </c>
      <c r="H21" s="29" t="n">
        <v>0</v>
      </c>
      <c r="I21" s="30" t="inlineStr">
        <is>
          <t>poteau</t>
        </is>
      </c>
      <c r="J21" s="31" t="n">
        <v>3</v>
      </c>
      <c r="K21" s="19" t="inlineStr">
        <is>
          <t>C17 — Interieur</t>
        </is>
      </c>
    </row>
    <row r="22" ht="14" customHeight="1">
      <c r="A22" s="20" t="n">
        <v>18</v>
      </c>
      <c r="B22" s="20" t="inlineStr">
        <is>
          <t>C18</t>
        </is>
      </c>
      <c r="C22" s="32" t="n">
        <v>18</v>
      </c>
      <c r="D22" s="32" t="n">
        <v>30</v>
      </c>
      <c r="E22" s="33" t="n">
        <v>0.25</v>
      </c>
      <c r="F22" s="33" t="n">
        <v>0.25</v>
      </c>
      <c r="G22" s="33" t="n">
        <v>0</v>
      </c>
      <c r="H22" s="33" t="n">
        <v>0</v>
      </c>
      <c r="I22" s="30" t="inlineStr">
        <is>
          <t>poteau</t>
        </is>
      </c>
      <c r="J22" s="31" t="n">
        <v>3</v>
      </c>
      <c r="K22" s="19" t="inlineStr">
        <is>
          <t>C18 — Rive bord long</t>
        </is>
      </c>
    </row>
    <row r="23" ht="14" customHeight="1">
      <c r="A23" s="17" t="n">
        <v>19</v>
      </c>
      <c r="B23" s="17" t="inlineStr">
        <is>
          <t>C19</t>
        </is>
      </c>
      <c r="C23" s="28" t="n">
        <v>19</v>
      </c>
      <c r="D23" s="28" t="n">
        <v>31</v>
      </c>
      <c r="E23" s="29" t="n">
        <v>0.25</v>
      </c>
      <c r="F23" s="29" t="n">
        <v>0.25</v>
      </c>
      <c r="G23" s="29" t="n">
        <v>0</v>
      </c>
      <c r="H23" s="29" t="n">
        <v>0</v>
      </c>
      <c r="I23" s="30" t="inlineStr">
        <is>
          <t>poteau</t>
        </is>
      </c>
      <c r="J23" s="31" t="n">
        <v>3</v>
      </c>
      <c r="K23" s="19" t="inlineStr">
        <is>
          <t>C19 — Rive bord long</t>
        </is>
      </c>
    </row>
    <row r="24" ht="14" customHeight="1">
      <c r="A24" s="20" t="n">
        <v>20</v>
      </c>
      <c r="B24" s="20" t="inlineStr">
        <is>
          <t>C20</t>
        </is>
      </c>
      <c r="C24" s="32" t="n">
        <v>20</v>
      </c>
      <c r="D24" s="32" t="n">
        <v>32</v>
      </c>
      <c r="E24" s="33" t="n">
        <v>0.3</v>
      </c>
      <c r="F24" s="33" t="n">
        <v>0.3</v>
      </c>
      <c r="G24" s="33" t="n">
        <v>0</v>
      </c>
      <c r="H24" s="33" t="n">
        <v>0</v>
      </c>
      <c r="I24" s="30" t="inlineStr">
        <is>
          <t>poteau</t>
        </is>
      </c>
      <c r="J24" s="31" t="n">
        <v>3</v>
      </c>
      <c r="K24" s="19" t="inlineStr">
        <is>
          <t>C20 — Interieur</t>
        </is>
      </c>
    </row>
    <row r="25" ht="14" customHeight="1">
      <c r="A25" s="17" t="n">
        <v>21</v>
      </c>
      <c r="B25" s="17" t="inlineStr">
        <is>
          <t>C21</t>
        </is>
      </c>
      <c r="C25" s="28" t="n">
        <v>21</v>
      </c>
      <c r="D25" s="28" t="n">
        <v>33</v>
      </c>
      <c r="E25" s="29" t="n">
        <v>0.25</v>
      </c>
      <c r="F25" s="29" t="n">
        <v>0.25</v>
      </c>
      <c r="G25" s="29" t="n">
        <v>0</v>
      </c>
      <c r="H25" s="29" t="n">
        <v>0</v>
      </c>
      <c r="I25" s="30" t="inlineStr">
        <is>
          <t>poteau</t>
        </is>
      </c>
      <c r="J25" s="31" t="n">
        <v>3</v>
      </c>
      <c r="K25" s="19" t="inlineStr">
        <is>
          <t>C21 — Rive bord long</t>
        </is>
      </c>
    </row>
    <row r="26" ht="14" customHeight="1">
      <c r="A26" s="20" t="n">
        <v>22</v>
      </c>
      <c r="B26" s="20" t="inlineStr">
        <is>
          <t>C22</t>
        </is>
      </c>
      <c r="C26" s="32" t="n">
        <v>22</v>
      </c>
      <c r="D26" s="32" t="n">
        <v>34</v>
      </c>
      <c r="E26" s="33" t="n">
        <v>0.25</v>
      </c>
      <c r="F26" s="33" t="n">
        <v>0.25</v>
      </c>
      <c r="G26" s="33" t="n">
        <v>0</v>
      </c>
      <c r="H26" s="33" t="n">
        <v>0</v>
      </c>
      <c r="I26" s="30" t="inlineStr">
        <is>
          <t>poteau</t>
        </is>
      </c>
      <c r="J26" s="31" t="n">
        <v>3</v>
      </c>
      <c r="K26" s="19" t="inlineStr">
        <is>
          <t>C22 — Angle</t>
        </is>
      </c>
    </row>
    <row r="27" ht="14" customHeight="1">
      <c r="A27" s="17" t="n">
        <v>23</v>
      </c>
      <c r="B27" s="17" t="inlineStr">
        <is>
          <t>C23</t>
        </is>
      </c>
      <c r="C27" s="28" t="n">
        <v>23</v>
      </c>
      <c r="D27" s="28" t="n">
        <v>35</v>
      </c>
      <c r="E27" s="29" t="n">
        <v>0.25</v>
      </c>
      <c r="F27" s="29" t="n">
        <v>0.25</v>
      </c>
      <c r="G27" s="29" t="n">
        <v>0</v>
      </c>
      <c r="H27" s="29" t="n">
        <v>0</v>
      </c>
      <c r="I27" s="30" t="inlineStr">
        <is>
          <t>poteau</t>
        </is>
      </c>
      <c r="J27" s="31" t="n">
        <v>3</v>
      </c>
      <c r="K27" s="19" t="inlineStr">
        <is>
          <t>C23 — Rive bord court</t>
        </is>
      </c>
    </row>
    <row r="28" ht="14" customHeight="1">
      <c r="A28" s="20" t="n">
        <v>24</v>
      </c>
      <c r="B28" s="20" t="inlineStr">
        <is>
          <t>C24</t>
        </is>
      </c>
      <c r="C28" s="32" t="n">
        <v>24</v>
      </c>
      <c r="D28" s="32" t="n">
        <v>36</v>
      </c>
      <c r="E28" s="33" t="n">
        <v>0.25</v>
      </c>
      <c r="F28" s="33" t="n">
        <v>0.25</v>
      </c>
      <c r="G28" s="33" t="n">
        <v>0</v>
      </c>
      <c r="H28" s="33" t="n">
        <v>0</v>
      </c>
      <c r="I28" s="30" t="inlineStr">
        <is>
          <t>poteau</t>
        </is>
      </c>
      <c r="J28" s="31" t="n">
        <v>3</v>
      </c>
      <c r="K28" s="19" t="inlineStr">
        <is>
          <t>C24 — Angle</t>
        </is>
      </c>
    </row>
    <row r="29" ht="14" customHeight="1">
      <c r="A29" s="17" t="n">
        <v>25</v>
      </c>
      <c r="B29" s="17" t="inlineStr">
        <is>
          <t>C25</t>
        </is>
      </c>
      <c r="C29" s="28" t="n">
        <v>25</v>
      </c>
      <c r="D29" s="28" t="n">
        <v>37</v>
      </c>
      <c r="E29" s="29" t="n">
        <v>0.2</v>
      </c>
      <c r="F29" s="29" t="n">
        <v>0.2</v>
      </c>
      <c r="G29" s="29" t="n">
        <v>0</v>
      </c>
      <c r="H29" s="29" t="n">
        <v>0</v>
      </c>
      <c r="I29" s="30" t="inlineStr">
        <is>
          <t>poteau</t>
        </is>
      </c>
      <c r="J29" s="31" t="n">
        <v>3</v>
      </c>
      <c r="K29" s="19" t="inlineStr">
        <is>
          <t>C25 — Angle</t>
        </is>
      </c>
    </row>
    <row r="30" ht="14" customHeight="1">
      <c r="A30" s="20" t="n">
        <v>26</v>
      </c>
      <c r="B30" s="20" t="inlineStr">
        <is>
          <t>C26</t>
        </is>
      </c>
      <c r="C30" s="32" t="n">
        <v>26</v>
      </c>
      <c r="D30" s="32" t="n">
        <v>38</v>
      </c>
      <c r="E30" s="33" t="n">
        <v>0.2</v>
      </c>
      <c r="F30" s="33" t="n">
        <v>0.2</v>
      </c>
      <c r="G30" s="33" t="n">
        <v>0</v>
      </c>
      <c r="H30" s="33" t="n">
        <v>0</v>
      </c>
      <c r="I30" s="30" t="inlineStr">
        <is>
          <t>poteau</t>
        </is>
      </c>
      <c r="J30" s="31" t="n">
        <v>3</v>
      </c>
      <c r="K30" s="19" t="inlineStr">
        <is>
          <t>C26 — Rive bord court</t>
        </is>
      </c>
    </row>
    <row r="31" ht="14" customHeight="1">
      <c r="A31" s="17" t="n">
        <v>27</v>
      </c>
      <c r="B31" s="17" t="inlineStr">
        <is>
          <t>C27</t>
        </is>
      </c>
      <c r="C31" s="28" t="n">
        <v>27</v>
      </c>
      <c r="D31" s="28" t="n">
        <v>39</v>
      </c>
      <c r="E31" s="29" t="n">
        <v>0.2</v>
      </c>
      <c r="F31" s="29" t="n">
        <v>0.2</v>
      </c>
      <c r="G31" s="29" t="n">
        <v>0</v>
      </c>
      <c r="H31" s="29" t="n">
        <v>0</v>
      </c>
      <c r="I31" s="30" t="inlineStr">
        <is>
          <t>poteau</t>
        </is>
      </c>
      <c r="J31" s="31" t="n">
        <v>3</v>
      </c>
      <c r="K31" s="19" t="inlineStr">
        <is>
          <t>C27 — Angle</t>
        </is>
      </c>
    </row>
    <row r="32" ht="14" customHeight="1">
      <c r="A32" s="20" t="n">
        <v>28</v>
      </c>
      <c r="B32" s="20" t="inlineStr">
        <is>
          <t>C28</t>
        </is>
      </c>
      <c r="C32" s="32" t="n">
        <v>28</v>
      </c>
      <c r="D32" s="32" t="n">
        <v>40</v>
      </c>
      <c r="E32" s="33" t="n">
        <v>0.2</v>
      </c>
      <c r="F32" s="33" t="n">
        <v>0.2</v>
      </c>
      <c r="G32" s="33" t="n">
        <v>0</v>
      </c>
      <c r="H32" s="33" t="n">
        <v>0</v>
      </c>
      <c r="I32" s="30" t="inlineStr">
        <is>
          <t>poteau</t>
        </is>
      </c>
      <c r="J32" s="31" t="n">
        <v>3</v>
      </c>
      <c r="K32" s="19" t="inlineStr">
        <is>
          <t>C28 — Rive bord long</t>
        </is>
      </c>
    </row>
    <row r="33" ht="14" customHeight="1">
      <c r="A33" s="17" t="n">
        <v>29</v>
      </c>
      <c r="B33" s="17" t="inlineStr">
        <is>
          <t>C29</t>
        </is>
      </c>
      <c r="C33" s="28" t="n">
        <v>29</v>
      </c>
      <c r="D33" s="28" t="n">
        <v>41</v>
      </c>
      <c r="E33" s="29" t="n">
        <v>0.25</v>
      </c>
      <c r="F33" s="29" t="n">
        <v>0.25</v>
      </c>
      <c r="G33" s="29" t="n">
        <v>0</v>
      </c>
      <c r="H33" s="29" t="n">
        <v>0</v>
      </c>
      <c r="I33" s="30" t="inlineStr">
        <is>
          <t>poteau</t>
        </is>
      </c>
      <c r="J33" s="31" t="n">
        <v>3</v>
      </c>
      <c r="K33" s="19" t="inlineStr">
        <is>
          <t>C29 — Interieur</t>
        </is>
      </c>
    </row>
    <row r="34" ht="14" customHeight="1">
      <c r="A34" s="20" t="n">
        <v>30</v>
      </c>
      <c r="B34" s="20" t="inlineStr">
        <is>
          <t>C30</t>
        </is>
      </c>
      <c r="C34" s="32" t="n">
        <v>30</v>
      </c>
      <c r="D34" s="32" t="n">
        <v>42</v>
      </c>
      <c r="E34" s="33" t="n">
        <v>0.2</v>
      </c>
      <c r="F34" s="33" t="n">
        <v>0.2</v>
      </c>
      <c r="G34" s="33" t="n">
        <v>0</v>
      </c>
      <c r="H34" s="33" t="n">
        <v>0</v>
      </c>
      <c r="I34" s="30" t="inlineStr">
        <is>
          <t>poteau</t>
        </is>
      </c>
      <c r="J34" s="31" t="n">
        <v>3</v>
      </c>
      <c r="K34" s="19" t="inlineStr">
        <is>
          <t>C30 — Rive bord long</t>
        </is>
      </c>
    </row>
    <row r="35" ht="14" customHeight="1">
      <c r="A35" s="17" t="n">
        <v>31</v>
      </c>
      <c r="B35" s="17" t="inlineStr">
        <is>
          <t>C31</t>
        </is>
      </c>
      <c r="C35" s="28" t="n">
        <v>31</v>
      </c>
      <c r="D35" s="28" t="n">
        <v>43</v>
      </c>
      <c r="E35" s="29" t="n">
        <v>0.2</v>
      </c>
      <c r="F35" s="29" t="n">
        <v>0.2</v>
      </c>
      <c r="G35" s="29" t="n">
        <v>0</v>
      </c>
      <c r="H35" s="29" t="n">
        <v>0</v>
      </c>
      <c r="I35" s="30" t="inlineStr">
        <is>
          <t>poteau</t>
        </is>
      </c>
      <c r="J35" s="31" t="n">
        <v>3</v>
      </c>
      <c r="K35" s="19" t="inlineStr">
        <is>
          <t>C31 — Rive bord long</t>
        </is>
      </c>
    </row>
    <row r="36" ht="14" customHeight="1">
      <c r="A36" s="20" t="n">
        <v>32</v>
      </c>
      <c r="B36" s="20" t="inlineStr">
        <is>
          <t>C32</t>
        </is>
      </c>
      <c r="C36" s="32" t="n">
        <v>32</v>
      </c>
      <c r="D36" s="32" t="n">
        <v>44</v>
      </c>
      <c r="E36" s="33" t="n">
        <v>0.25</v>
      </c>
      <c r="F36" s="33" t="n">
        <v>0.25</v>
      </c>
      <c r="G36" s="33" t="n">
        <v>0</v>
      </c>
      <c r="H36" s="33" t="n">
        <v>0</v>
      </c>
      <c r="I36" s="30" t="inlineStr">
        <is>
          <t>poteau</t>
        </is>
      </c>
      <c r="J36" s="31" t="n">
        <v>3</v>
      </c>
      <c r="K36" s="19" t="inlineStr">
        <is>
          <t>C32 — Interieur</t>
        </is>
      </c>
    </row>
    <row r="37" ht="14" customHeight="1">
      <c r="A37" s="17" t="n">
        <v>33</v>
      </c>
      <c r="B37" s="17" t="inlineStr">
        <is>
          <t>C33</t>
        </is>
      </c>
      <c r="C37" s="28" t="n">
        <v>33</v>
      </c>
      <c r="D37" s="28" t="n">
        <v>45</v>
      </c>
      <c r="E37" s="29" t="n">
        <v>0.2</v>
      </c>
      <c r="F37" s="29" t="n">
        <v>0.2</v>
      </c>
      <c r="G37" s="29" t="n">
        <v>0</v>
      </c>
      <c r="H37" s="29" t="n">
        <v>0</v>
      </c>
      <c r="I37" s="30" t="inlineStr">
        <is>
          <t>poteau</t>
        </is>
      </c>
      <c r="J37" s="31" t="n">
        <v>3</v>
      </c>
      <c r="K37" s="19" t="inlineStr">
        <is>
          <t>C33 — Rive bord long</t>
        </is>
      </c>
    </row>
    <row r="38" ht="14" customHeight="1">
      <c r="A38" s="20" t="n">
        <v>34</v>
      </c>
      <c r="B38" s="20" t="inlineStr">
        <is>
          <t>C34</t>
        </is>
      </c>
      <c r="C38" s="32" t="n">
        <v>34</v>
      </c>
      <c r="D38" s="32" t="n">
        <v>46</v>
      </c>
      <c r="E38" s="33" t="n">
        <v>0.2</v>
      </c>
      <c r="F38" s="33" t="n">
        <v>0.2</v>
      </c>
      <c r="G38" s="33" t="n">
        <v>0</v>
      </c>
      <c r="H38" s="33" t="n">
        <v>0</v>
      </c>
      <c r="I38" s="30" t="inlineStr">
        <is>
          <t>poteau</t>
        </is>
      </c>
      <c r="J38" s="31" t="n">
        <v>3</v>
      </c>
      <c r="K38" s="19" t="inlineStr">
        <is>
          <t>C34 — Angle</t>
        </is>
      </c>
    </row>
    <row r="39" ht="14" customHeight="1">
      <c r="A39" s="17" t="n">
        <v>35</v>
      </c>
      <c r="B39" s="17" t="inlineStr">
        <is>
          <t>C35</t>
        </is>
      </c>
      <c r="C39" s="28" t="n">
        <v>35</v>
      </c>
      <c r="D39" s="28" t="n">
        <v>47</v>
      </c>
      <c r="E39" s="29" t="n">
        <v>0.2</v>
      </c>
      <c r="F39" s="29" t="n">
        <v>0.2</v>
      </c>
      <c r="G39" s="29" t="n">
        <v>0</v>
      </c>
      <c r="H39" s="29" t="n">
        <v>0</v>
      </c>
      <c r="I39" s="30" t="inlineStr">
        <is>
          <t>poteau</t>
        </is>
      </c>
      <c r="J39" s="31" t="n">
        <v>3</v>
      </c>
      <c r="K39" s="19" t="inlineStr">
        <is>
          <t>C35 — Rive bord court</t>
        </is>
      </c>
    </row>
    <row r="40" ht="14" customHeight="1">
      <c r="A40" s="20" t="n">
        <v>36</v>
      </c>
      <c r="B40" s="20" t="inlineStr">
        <is>
          <t>C36</t>
        </is>
      </c>
      <c r="C40" s="32" t="n">
        <v>36</v>
      </c>
      <c r="D40" s="32" t="n">
        <v>48</v>
      </c>
      <c r="E40" s="33" t="n">
        <v>0.2</v>
      </c>
      <c r="F40" s="33" t="n">
        <v>0.2</v>
      </c>
      <c r="G40" s="33" t="n">
        <v>0</v>
      </c>
      <c r="H40" s="33" t="n">
        <v>0</v>
      </c>
      <c r="I40" s="30" t="inlineStr">
        <is>
          <t>poteau</t>
        </is>
      </c>
      <c r="J40" s="31" t="n">
        <v>3</v>
      </c>
      <c r="K40" s="19" t="inlineStr">
        <is>
          <t>C36 — Angle</t>
        </is>
      </c>
    </row>
    <row r="41" ht="14" customHeight="1">
      <c r="A41" s="17" t="n">
        <v>37</v>
      </c>
      <c r="B41" s="17" t="inlineStr">
        <is>
          <t>C37</t>
        </is>
      </c>
      <c r="C41" s="28" t="n">
        <v>37</v>
      </c>
      <c r="D41" s="28" t="n">
        <v>49</v>
      </c>
      <c r="E41" s="29" t="n">
        <v>0.2</v>
      </c>
      <c r="F41" s="29" t="n">
        <v>0.2</v>
      </c>
      <c r="G41" s="29" t="n">
        <v>0</v>
      </c>
      <c r="H41" s="29" t="n">
        <v>0</v>
      </c>
      <c r="I41" s="30" t="inlineStr">
        <is>
          <t>poteau</t>
        </is>
      </c>
      <c r="J41" s="31" t="n">
        <v>3</v>
      </c>
      <c r="K41" s="19" t="inlineStr">
        <is>
          <t>C37 — Angle</t>
        </is>
      </c>
    </row>
    <row r="42" ht="14" customHeight="1">
      <c r="A42" s="20" t="n">
        <v>38</v>
      </c>
      <c r="B42" s="20" t="inlineStr">
        <is>
          <t>C38</t>
        </is>
      </c>
      <c r="C42" s="32" t="n">
        <v>38</v>
      </c>
      <c r="D42" s="32" t="n">
        <v>50</v>
      </c>
      <c r="E42" s="33" t="n">
        <v>0.2</v>
      </c>
      <c r="F42" s="33" t="n">
        <v>0.2</v>
      </c>
      <c r="G42" s="33" t="n">
        <v>0</v>
      </c>
      <c r="H42" s="33" t="n">
        <v>0</v>
      </c>
      <c r="I42" s="30" t="inlineStr">
        <is>
          <t>poteau</t>
        </is>
      </c>
      <c r="J42" s="31" t="n">
        <v>3</v>
      </c>
      <c r="K42" s="19" t="inlineStr">
        <is>
          <t>C38 — Rive bord court</t>
        </is>
      </c>
    </row>
    <row r="43" ht="14" customHeight="1">
      <c r="A43" s="17" t="n">
        <v>39</v>
      </c>
      <c r="B43" s="17" t="inlineStr">
        <is>
          <t>C39</t>
        </is>
      </c>
      <c r="C43" s="28" t="n">
        <v>39</v>
      </c>
      <c r="D43" s="28" t="n">
        <v>51</v>
      </c>
      <c r="E43" s="29" t="n">
        <v>0.2</v>
      </c>
      <c r="F43" s="29" t="n">
        <v>0.2</v>
      </c>
      <c r="G43" s="29" t="n">
        <v>0</v>
      </c>
      <c r="H43" s="29" t="n">
        <v>0</v>
      </c>
      <c r="I43" s="30" t="inlineStr">
        <is>
          <t>poteau</t>
        </is>
      </c>
      <c r="J43" s="31" t="n">
        <v>3</v>
      </c>
      <c r="K43" s="19" t="inlineStr">
        <is>
          <t>C39 — Angle</t>
        </is>
      </c>
    </row>
    <row r="44" ht="14" customHeight="1">
      <c r="A44" s="20" t="n">
        <v>40</v>
      </c>
      <c r="B44" s="20" t="inlineStr">
        <is>
          <t>C40</t>
        </is>
      </c>
      <c r="C44" s="32" t="n">
        <v>40</v>
      </c>
      <c r="D44" s="32" t="n">
        <v>52</v>
      </c>
      <c r="E44" s="33" t="n">
        <v>0.2</v>
      </c>
      <c r="F44" s="33" t="n">
        <v>0.2</v>
      </c>
      <c r="G44" s="33" t="n">
        <v>0</v>
      </c>
      <c r="H44" s="33" t="n">
        <v>0</v>
      </c>
      <c r="I44" s="30" t="inlineStr">
        <is>
          <t>poteau</t>
        </is>
      </c>
      <c r="J44" s="31" t="n">
        <v>3</v>
      </c>
      <c r="K44" s="19" t="inlineStr">
        <is>
          <t>C40 — Rive bord long</t>
        </is>
      </c>
    </row>
    <row r="45" ht="14" customHeight="1">
      <c r="A45" s="17" t="n">
        <v>41</v>
      </c>
      <c r="B45" s="17" t="inlineStr">
        <is>
          <t>C41</t>
        </is>
      </c>
      <c r="C45" s="28" t="n">
        <v>41</v>
      </c>
      <c r="D45" s="28" t="n">
        <v>53</v>
      </c>
      <c r="E45" s="29" t="n">
        <v>0.25</v>
      </c>
      <c r="F45" s="29" t="n">
        <v>0.25</v>
      </c>
      <c r="G45" s="29" t="n">
        <v>0</v>
      </c>
      <c r="H45" s="29" t="n">
        <v>0</v>
      </c>
      <c r="I45" s="30" t="inlineStr">
        <is>
          <t>poteau</t>
        </is>
      </c>
      <c r="J45" s="31" t="n">
        <v>3</v>
      </c>
      <c r="K45" s="19" t="inlineStr">
        <is>
          <t>C41 — Interieur</t>
        </is>
      </c>
    </row>
    <row r="46" ht="14" customHeight="1">
      <c r="A46" s="20" t="n">
        <v>42</v>
      </c>
      <c r="B46" s="20" t="inlineStr">
        <is>
          <t>C42</t>
        </is>
      </c>
      <c r="C46" s="32" t="n">
        <v>42</v>
      </c>
      <c r="D46" s="32" t="n">
        <v>54</v>
      </c>
      <c r="E46" s="33" t="n">
        <v>0.2</v>
      </c>
      <c r="F46" s="33" t="n">
        <v>0.2</v>
      </c>
      <c r="G46" s="33" t="n">
        <v>0</v>
      </c>
      <c r="H46" s="33" t="n">
        <v>0</v>
      </c>
      <c r="I46" s="30" t="inlineStr">
        <is>
          <t>poteau</t>
        </is>
      </c>
      <c r="J46" s="31" t="n">
        <v>3</v>
      </c>
      <c r="K46" s="19" t="inlineStr">
        <is>
          <t>C42 — Rive bord long</t>
        </is>
      </c>
    </row>
    <row r="47" ht="14" customHeight="1">
      <c r="A47" s="17" t="n">
        <v>43</v>
      </c>
      <c r="B47" s="17" t="inlineStr">
        <is>
          <t>C43</t>
        </is>
      </c>
      <c r="C47" s="28" t="n">
        <v>43</v>
      </c>
      <c r="D47" s="28" t="n">
        <v>55</v>
      </c>
      <c r="E47" s="29" t="n">
        <v>0.2</v>
      </c>
      <c r="F47" s="29" t="n">
        <v>0.2</v>
      </c>
      <c r="G47" s="29" t="n">
        <v>0</v>
      </c>
      <c r="H47" s="29" t="n">
        <v>0</v>
      </c>
      <c r="I47" s="30" t="inlineStr">
        <is>
          <t>poteau</t>
        </is>
      </c>
      <c r="J47" s="31" t="n">
        <v>3</v>
      </c>
      <c r="K47" s="19" t="inlineStr">
        <is>
          <t>C43 — Rive bord long</t>
        </is>
      </c>
    </row>
    <row r="48" ht="14" customHeight="1">
      <c r="A48" s="20" t="n">
        <v>44</v>
      </c>
      <c r="B48" s="20" t="inlineStr">
        <is>
          <t>C44</t>
        </is>
      </c>
      <c r="C48" s="32" t="n">
        <v>44</v>
      </c>
      <c r="D48" s="32" t="n">
        <v>56</v>
      </c>
      <c r="E48" s="33" t="n">
        <v>0.25</v>
      </c>
      <c r="F48" s="33" t="n">
        <v>0.25</v>
      </c>
      <c r="G48" s="33" t="n">
        <v>0</v>
      </c>
      <c r="H48" s="33" t="n">
        <v>0</v>
      </c>
      <c r="I48" s="30" t="inlineStr">
        <is>
          <t>poteau</t>
        </is>
      </c>
      <c r="J48" s="31" t="n">
        <v>3</v>
      </c>
      <c r="K48" s="19" t="inlineStr">
        <is>
          <t>C44 — Interieur</t>
        </is>
      </c>
    </row>
    <row r="49" ht="14" customHeight="1">
      <c r="A49" s="17" t="n">
        <v>45</v>
      </c>
      <c r="B49" s="17" t="inlineStr">
        <is>
          <t>C45</t>
        </is>
      </c>
      <c r="C49" s="28" t="n">
        <v>45</v>
      </c>
      <c r="D49" s="28" t="n">
        <v>57</v>
      </c>
      <c r="E49" s="29" t="n">
        <v>0.2</v>
      </c>
      <c r="F49" s="29" t="n">
        <v>0.2</v>
      </c>
      <c r="G49" s="29" t="n">
        <v>0</v>
      </c>
      <c r="H49" s="29" t="n">
        <v>0</v>
      </c>
      <c r="I49" s="30" t="inlineStr">
        <is>
          <t>poteau</t>
        </is>
      </c>
      <c r="J49" s="31" t="n">
        <v>3</v>
      </c>
      <c r="K49" s="19" t="inlineStr">
        <is>
          <t>C45 — Rive bord long</t>
        </is>
      </c>
    </row>
    <row r="50" ht="14" customHeight="1">
      <c r="A50" s="20" t="n">
        <v>46</v>
      </c>
      <c r="B50" s="20" t="inlineStr">
        <is>
          <t>C46</t>
        </is>
      </c>
      <c r="C50" s="32" t="n">
        <v>46</v>
      </c>
      <c r="D50" s="32" t="n">
        <v>58</v>
      </c>
      <c r="E50" s="33" t="n">
        <v>0.2</v>
      </c>
      <c r="F50" s="33" t="n">
        <v>0.2</v>
      </c>
      <c r="G50" s="33" t="n">
        <v>0</v>
      </c>
      <c r="H50" s="33" t="n">
        <v>0</v>
      </c>
      <c r="I50" s="30" t="inlineStr">
        <is>
          <t>poteau</t>
        </is>
      </c>
      <c r="J50" s="31" t="n">
        <v>3</v>
      </c>
      <c r="K50" s="19" t="inlineStr">
        <is>
          <t>C46 — Angle</t>
        </is>
      </c>
    </row>
    <row r="51" ht="14" customHeight="1">
      <c r="A51" s="17" t="n">
        <v>47</v>
      </c>
      <c r="B51" s="17" t="inlineStr">
        <is>
          <t>C47</t>
        </is>
      </c>
      <c r="C51" s="28" t="n">
        <v>47</v>
      </c>
      <c r="D51" s="28" t="n">
        <v>59</v>
      </c>
      <c r="E51" s="29" t="n">
        <v>0.2</v>
      </c>
      <c r="F51" s="29" t="n">
        <v>0.2</v>
      </c>
      <c r="G51" s="29" t="n">
        <v>0</v>
      </c>
      <c r="H51" s="29" t="n">
        <v>0</v>
      </c>
      <c r="I51" s="30" t="inlineStr">
        <is>
          <t>poteau</t>
        </is>
      </c>
      <c r="J51" s="31" t="n">
        <v>3</v>
      </c>
      <c r="K51" s="19" t="inlineStr">
        <is>
          <t>C47 — Rive bord court</t>
        </is>
      </c>
    </row>
    <row r="52" ht="14" customHeight="1">
      <c r="A52" s="20" t="n">
        <v>48</v>
      </c>
      <c r="B52" s="20" t="inlineStr">
        <is>
          <t>C48</t>
        </is>
      </c>
      <c r="C52" s="32" t="n">
        <v>48</v>
      </c>
      <c r="D52" s="32" t="n">
        <v>60</v>
      </c>
      <c r="E52" s="33" t="n">
        <v>0.2</v>
      </c>
      <c r="F52" s="33" t="n">
        <v>0.2</v>
      </c>
      <c r="G52" s="33" t="n">
        <v>0</v>
      </c>
      <c r="H52" s="33" t="n">
        <v>0</v>
      </c>
      <c r="I52" s="30" t="inlineStr">
        <is>
          <t>poteau</t>
        </is>
      </c>
      <c r="J52" s="31" t="n">
        <v>3</v>
      </c>
      <c r="K52" s="19" t="inlineStr">
        <is>
          <t>C48 — Angle</t>
        </is>
      </c>
    </row>
    <row r="53" ht="15" customHeight="1">
      <c r="A53" s="34" t="inlineStr">
        <is>
          <t xml:space="preserve">  POUTRES</t>
        </is>
      </c>
    </row>
    <row r="54" ht="14" customHeight="1">
      <c r="A54" s="17" t="n">
        <v>49</v>
      </c>
      <c r="B54" s="17" t="inlineStr">
        <is>
          <t>P49</t>
        </is>
      </c>
      <c r="C54" s="28" t="n">
        <v>13</v>
      </c>
      <c r="D54" s="28" t="n">
        <v>14</v>
      </c>
      <c r="E54" s="29" t="n">
        <v>0.25</v>
      </c>
      <c r="F54" s="29" t="n">
        <v>0.4</v>
      </c>
      <c r="G54" s="29" t="n">
        <v>2.5</v>
      </c>
      <c r="H54" s="29" t="n">
        <v>0</v>
      </c>
      <c r="I54" s="30" t="inlineStr">
        <is>
          <t>poutre</t>
        </is>
      </c>
      <c r="J54" s="31" t="n">
        <v>5</v>
      </c>
      <c r="K54" s="19" t="inlineStr">
        <is>
          <t>P49 — Sens X Niv2</t>
        </is>
      </c>
    </row>
    <row r="55" ht="14" customHeight="1">
      <c r="A55" s="35" t="n">
        <v>50</v>
      </c>
      <c r="B55" s="35" t="inlineStr">
        <is>
          <t>P50</t>
        </is>
      </c>
      <c r="C55" s="36" t="n">
        <v>14</v>
      </c>
      <c r="D55" s="36" t="n">
        <v>15</v>
      </c>
      <c r="E55" s="37" t="n">
        <v>0.25</v>
      </c>
      <c r="F55" s="37" t="n">
        <v>0.4</v>
      </c>
      <c r="G55" s="37" t="n">
        <v>2.5</v>
      </c>
      <c r="H55" s="37" t="n">
        <v>0</v>
      </c>
      <c r="I55" s="30" t="inlineStr">
        <is>
          <t>poutre</t>
        </is>
      </c>
      <c r="J55" s="31" t="n">
        <v>5</v>
      </c>
      <c r="K55" s="19" t="inlineStr">
        <is>
          <t>P50 — Sens X Niv2</t>
        </is>
      </c>
    </row>
    <row r="56" ht="14" customHeight="1">
      <c r="A56" s="17" t="n">
        <v>51</v>
      </c>
      <c r="B56" s="17" t="inlineStr">
        <is>
          <t>P51</t>
        </is>
      </c>
      <c r="C56" s="28" t="n">
        <v>16</v>
      </c>
      <c r="D56" s="28" t="n">
        <v>17</v>
      </c>
      <c r="E56" s="29" t="n">
        <v>0.25</v>
      </c>
      <c r="F56" s="29" t="n">
        <v>0.4</v>
      </c>
      <c r="G56" s="29" t="n">
        <v>2.5</v>
      </c>
      <c r="H56" s="29" t="n">
        <v>0</v>
      </c>
      <c r="I56" s="30" t="inlineStr">
        <is>
          <t>poutre</t>
        </is>
      </c>
      <c r="J56" s="31" t="n">
        <v>5</v>
      </c>
      <c r="K56" s="19" t="inlineStr">
        <is>
          <t>P51 — Sens X Niv2</t>
        </is>
      </c>
    </row>
    <row r="57" ht="14" customHeight="1">
      <c r="A57" s="35" t="n">
        <v>52</v>
      </c>
      <c r="B57" s="35" t="inlineStr">
        <is>
          <t>P52</t>
        </is>
      </c>
      <c r="C57" s="36" t="n">
        <v>17</v>
      </c>
      <c r="D57" s="36" t="n">
        <v>18</v>
      </c>
      <c r="E57" s="37" t="n">
        <v>0.25</v>
      </c>
      <c r="F57" s="37" t="n">
        <v>0.4</v>
      </c>
      <c r="G57" s="37" t="n">
        <v>2.5</v>
      </c>
      <c r="H57" s="37" t="n">
        <v>0</v>
      </c>
      <c r="I57" s="30" t="inlineStr">
        <is>
          <t>poutre</t>
        </is>
      </c>
      <c r="J57" s="31" t="n">
        <v>5</v>
      </c>
      <c r="K57" s="19" t="inlineStr">
        <is>
          <t>P52 — Sens X Niv2</t>
        </is>
      </c>
    </row>
    <row r="58" ht="14" customHeight="1">
      <c r="A58" s="17" t="n">
        <v>53</v>
      </c>
      <c r="B58" s="17" t="inlineStr">
        <is>
          <t>P53</t>
        </is>
      </c>
      <c r="C58" s="28" t="n">
        <v>19</v>
      </c>
      <c r="D58" s="28" t="n">
        <v>20</v>
      </c>
      <c r="E58" s="29" t="n">
        <v>0.25</v>
      </c>
      <c r="F58" s="29" t="n">
        <v>0.4</v>
      </c>
      <c r="G58" s="29" t="n">
        <v>2.5</v>
      </c>
      <c r="H58" s="29" t="n">
        <v>0</v>
      </c>
      <c r="I58" s="30" t="inlineStr">
        <is>
          <t>poutre</t>
        </is>
      </c>
      <c r="J58" s="31" t="n">
        <v>5</v>
      </c>
      <c r="K58" s="19" t="inlineStr">
        <is>
          <t>P53 — Sens X Niv2</t>
        </is>
      </c>
    </row>
    <row r="59" ht="14" customHeight="1">
      <c r="A59" s="35" t="n">
        <v>54</v>
      </c>
      <c r="B59" s="35" t="inlineStr">
        <is>
          <t>P54</t>
        </is>
      </c>
      <c r="C59" s="36" t="n">
        <v>20</v>
      </c>
      <c r="D59" s="36" t="n">
        <v>21</v>
      </c>
      <c r="E59" s="37" t="n">
        <v>0.25</v>
      </c>
      <c r="F59" s="37" t="n">
        <v>0.4</v>
      </c>
      <c r="G59" s="37" t="n">
        <v>2.5</v>
      </c>
      <c r="H59" s="37" t="n">
        <v>0</v>
      </c>
      <c r="I59" s="30" t="inlineStr">
        <is>
          <t>poutre</t>
        </is>
      </c>
      <c r="J59" s="31" t="n">
        <v>5</v>
      </c>
      <c r="K59" s="19" t="inlineStr">
        <is>
          <t>P54 — Sens X Niv2</t>
        </is>
      </c>
    </row>
    <row r="60" ht="14" customHeight="1">
      <c r="A60" s="17" t="n">
        <v>55</v>
      </c>
      <c r="B60" s="17" t="inlineStr">
        <is>
          <t>P55</t>
        </is>
      </c>
      <c r="C60" s="28" t="n">
        <v>22</v>
      </c>
      <c r="D60" s="28" t="n">
        <v>23</v>
      </c>
      <c r="E60" s="29" t="n">
        <v>0.25</v>
      </c>
      <c r="F60" s="29" t="n">
        <v>0.4</v>
      </c>
      <c r="G60" s="29" t="n">
        <v>2.5</v>
      </c>
      <c r="H60" s="29" t="n">
        <v>0</v>
      </c>
      <c r="I60" s="30" t="inlineStr">
        <is>
          <t>poutre</t>
        </is>
      </c>
      <c r="J60" s="31" t="n">
        <v>5</v>
      </c>
      <c r="K60" s="19" t="inlineStr">
        <is>
          <t>P55 — Sens X Niv2</t>
        </is>
      </c>
    </row>
    <row r="61" ht="14" customHeight="1">
      <c r="A61" s="35" t="n">
        <v>56</v>
      </c>
      <c r="B61" s="35" t="inlineStr">
        <is>
          <t>P56</t>
        </is>
      </c>
      <c r="C61" s="36" t="n">
        <v>23</v>
      </c>
      <c r="D61" s="36" t="n">
        <v>24</v>
      </c>
      <c r="E61" s="37" t="n">
        <v>0.25</v>
      </c>
      <c r="F61" s="37" t="n">
        <v>0.4</v>
      </c>
      <c r="G61" s="37" t="n">
        <v>2.5</v>
      </c>
      <c r="H61" s="37" t="n">
        <v>0</v>
      </c>
      <c r="I61" s="30" t="inlineStr">
        <is>
          <t>poutre</t>
        </is>
      </c>
      <c r="J61" s="31" t="n">
        <v>5</v>
      </c>
      <c r="K61" s="19" t="inlineStr">
        <is>
          <t>P56 — Sens X Niv2</t>
        </is>
      </c>
    </row>
    <row r="62" ht="14" customHeight="1">
      <c r="A62" s="17" t="n">
        <v>57</v>
      </c>
      <c r="B62" s="17" t="inlineStr">
        <is>
          <t>P57</t>
        </is>
      </c>
      <c r="C62" s="28" t="n">
        <v>13</v>
      </c>
      <c r="D62" s="28" t="n">
        <v>16</v>
      </c>
      <c r="E62" s="29" t="n">
        <v>0.25</v>
      </c>
      <c r="F62" s="29" t="n">
        <v>0.4</v>
      </c>
      <c r="G62" s="29" t="n">
        <v>2.5</v>
      </c>
      <c r="H62" s="29" t="n">
        <v>0</v>
      </c>
      <c r="I62" s="30" t="inlineStr">
        <is>
          <t>poutre</t>
        </is>
      </c>
      <c r="J62" s="31" t="n">
        <v>5</v>
      </c>
      <c r="K62" s="19" t="inlineStr">
        <is>
          <t>P57 — Sens Y Niv2</t>
        </is>
      </c>
    </row>
    <row r="63" ht="14" customHeight="1">
      <c r="A63" s="35" t="n">
        <v>58</v>
      </c>
      <c r="B63" s="35" t="inlineStr">
        <is>
          <t>P58</t>
        </is>
      </c>
      <c r="C63" s="36" t="n">
        <v>16</v>
      </c>
      <c r="D63" s="36" t="n">
        <v>19</v>
      </c>
      <c r="E63" s="37" t="n">
        <v>0.25</v>
      </c>
      <c r="F63" s="37" t="n">
        <v>0.4</v>
      </c>
      <c r="G63" s="37" t="n">
        <v>2.5</v>
      </c>
      <c r="H63" s="37" t="n">
        <v>0</v>
      </c>
      <c r="I63" s="30" t="inlineStr">
        <is>
          <t>poutre</t>
        </is>
      </c>
      <c r="J63" s="31" t="n">
        <v>5</v>
      </c>
      <c r="K63" s="19" t="inlineStr">
        <is>
          <t>P58 — Sens Y Niv2</t>
        </is>
      </c>
    </row>
    <row r="64" ht="14" customHeight="1">
      <c r="A64" s="17" t="n">
        <v>59</v>
      </c>
      <c r="B64" s="17" t="inlineStr">
        <is>
          <t>P59</t>
        </is>
      </c>
      <c r="C64" s="28" t="n">
        <v>19</v>
      </c>
      <c r="D64" s="28" t="n">
        <v>22</v>
      </c>
      <c r="E64" s="29" t="n">
        <v>0.25</v>
      </c>
      <c r="F64" s="29" t="n">
        <v>0.4</v>
      </c>
      <c r="G64" s="29" t="n">
        <v>2.5</v>
      </c>
      <c r="H64" s="29" t="n">
        <v>0</v>
      </c>
      <c r="I64" s="30" t="inlineStr">
        <is>
          <t>poutre</t>
        </is>
      </c>
      <c r="J64" s="31" t="n">
        <v>5</v>
      </c>
      <c r="K64" s="19" t="inlineStr">
        <is>
          <t>P59 — Sens Y Niv2</t>
        </is>
      </c>
    </row>
    <row r="65" ht="14" customHeight="1">
      <c r="A65" s="35" t="n">
        <v>60</v>
      </c>
      <c r="B65" s="35" t="inlineStr">
        <is>
          <t>P60</t>
        </is>
      </c>
      <c r="C65" s="36" t="n">
        <v>14</v>
      </c>
      <c r="D65" s="36" t="n">
        <v>17</v>
      </c>
      <c r="E65" s="37" t="n">
        <v>0.25</v>
      </c>
      <c r="F65" s="37" t="n">
        <v>0.4</v>
      </c>
      <c r="G65" s="37" t="n">
        <v>2.5</v>
      </c>
      <c r="H65" s="37" t="n">
        <v>0</v>
      </c>
      <c r="I65" s="30" t="inlineStr">
        <is>
          <t>poutre</t>
        </is>
      </c>
      <c r="J65" s="31" t="n">
        <v>5</v>
      </c>
      <c r="K65" s="19" t="inlineStr">
        <is>
          <t>P60 — Sens Y Niv2</t>
        </is>
      </c>
    </row>
    <row r="66" ht="14" customHeight="1">
      <c r="A66" s="17" t="n">
        <v>61</v>
      </c>
      <c r="B66" s="17" t="inlineStr">
        <is>
          <t>P61</t>
        </is>
      </c>
      <c r="C66" s="28" t="n">
        <v>17</v>
      </c>
      <c r="D66" s="28" t="n">
        <v>20</v>
      </c>
      <c r="E66" s="29" t="n">
        <v>0.25</v>
      </c>
      <c r="F66" s="29" t="n">
        <v>0.4</v>
      </c>
      <c r="G66" s="29" t="n">
        <v>2.5</v>
      </c>
      <c r="H66" s="29" t="n">
        <v>0</v>
      </c>
      <c r="I66" s="30" t="inlineStr">
        <is>
          <t>poutre</t>
        </is>
      </c>
      <c r="J66" s="31" t="n">
        <v>5</v>
      </c>
      <c r="K66" s="19" t="inlineStr">
        <is>
          <t>P61 — Sens Y Niv2</t>
        </is>
      </c>
    </row>
    <row r="67" ht="14" customHeight="1">
      <c r="A67" s="35" t="n">
        <v>62</v>
      </c>
      <c r="B67" s="35" t="inlineStr">
        <is>
          <t>P62</t>
        </is>
      </c>
      <c r="C67" s="36" t="n">
        <v>20</v>
      </c>
      <c r="D67" s="36" t="n">
        <v>23</v>
      </c>
      <c r="E67" s="37" t="n">
        <v>0.25</v>
      </c>
      <c r="F67" s="37" t="n">
        <v>0.4</v>
      </c>
      <c r="G67" s="37" t="n">
        <v>2.5</v>
      </c>
      <c r="H67" s="37" t="n">
        <v>0</v>
      </c>
      <c r="I67" s="30" t="inlineStr">
        <is>
          <t>poutre</t>
        </is>
      </c>
      <c r="J67" s="31" t="n">
        <v>5</v>
      </c>
      <c r="K67" s="19" t="inlineStr">
        <is>
          <t>P62 — Sens Y Niv2</t>
        </is>
      </c>
    </row>
    <row r="68" ht="14" customHeight="1">
      <c r="A68" s="17" t="n">
        <v>63</v>
      </c>
      <c r="B68" s="17" t="inlineStr">
        <is>
          <t>P63</t>
        </is>
      </c>
      <c r="C68" s="28" t="n">
        <v>15</v>
      </c>
      <c r="D68" s="28" t="n">
        <v>18</v>
      </c>
      <c r="E68" s="29" t="n">
        <v>0.25</v>
      </c>
      <c r="F68" s="29" t="n">
        <v>0.4</v>
      </c>
      <c r="G68" s="29" t="n">
        <v>2.5</v>
      </c>
      <c r="H68" s="29" t="n">
        <v>0</v>
      </c>
      <c r="I68" s="30" t="inlineStr">
        <is>
          <t>poutre</t>
        </is>
      </c>
      <c r="J68" s="31" t="n">
        <v>5</v>
      </c>
      <c r="K68" s="19" t="inlineStr">
        <is>
          <t>P63 — Sens Y Niv2</t>
        </is>
      </c>
    </row>
    <row r="69" ht="14" customHeight="1">
      <c r="A69" s="35" t="n">
        <v>64</v>
      </c>
      <c r="B69" s="35" t="inlineStr">
        <is>
          <t>P64</t>
        </is>
      </c>
      <c r="C69" s="36" t="n">
        <v>18</v>
      </c>
      <c r="D69" s="36" t="n">
        <v>21</v>
      </c>
      <c r="E69" s="37" t="n">
        <v>0.25</v>
      </c>
      <c r="F69" s="37" t="n">
        <v>0.4</v>
      </c>
      <c r="G69" s="37" t="n">
        <v>2.5</v>
      </c>
      <c r="H69" s="37" t="n">
        <v>0</v>
      </c>
      <c r="I69" s="30" t="inlineStr">
        <is>
          <t>poutre</t>
        </is>
      </c>
      <c r="J69" s="31" t="n">
        <v>5</v>
      </c>
      <c r="K69" s="19" t="inlineStr">
        <is>
          <t>P64 — Sens Y Niv2</t>
        </is>
      </c>
    </row>
    <row r="70" ht="14" customHeight="1">
      <c r="A70" s="17" t="n">
        <v>65</v>
      </c>
      <c r="B70" s="17" t="inlineStr">
        <is>
          <t>P65</t>
        </is>
      </c>
      <c r="C70" s="28" t="n">
        <v>21</v>
      </c>
      <c r="D70" s="28" t="n">
        <v>24</v>
      </c>
      <c r="E70" s="29" t="n">
        <v>0.25</v>
      </c>
      <c r="F70" s="29" t="n">
        <v>0.4</v>
      </c>
      <c r="G70" s="29" t="n">
        <v>2.5</v>
      </c>
      <c r="H70" s="29" t="n">
        <v>0</v>
      </c>
      <c r="I70" s="30" t="inlineStr">
        <is>
          <t>poutre</t>
        </is>
      </c>
      <c r="J70" s="31" t="n">
        <v>5</v>
      </c>
      <c r="K70" s="19" t="inlineStr">
        <is>
          <t>P65 — Sens Y Niv2</t>
        </is>
      </c>
    </row>
    <row r="71" ht="14" customHeight="1">
      <c r="A71" s="35" t="n">
        <v>66</v>
      </c>
      <c r="B71" s="35" t="inlineStr">
        <is>
          <t>P66</t>
        </is>
      </c>
      <c r="C71" s="36" t="n">
        <v>25</v>
      </c>
      <c r="D71" s="36" t="n">
        <v>26</v>
      </c>
      <c r="E71" s="37" t="n">
        <v>0.25</v>
      </c>
      <c r="F71" s="37" t="n">
        <v>0.4</v>
      </c>
      <c r="G71" s="37" t="n">
        <v>2.5</v>
      </c>
      <c r="H71" s="37" t="n">
        <v>0</v>
      </c>
      <c r="I71" s="30" t="inlineStr">
        <is>
          <t>poutre</t>
        </is>
      </c>
      <c r="J71" s="31" t="n">
        <v>5</v>
      </c>
      <c r="K71" s="19" t="inlineStr">
        <is>
          <t>P66 — Sens X Niv3</t>
        </is>
      </c>
    </row>
    <row r="72" ht="14" customHeight="1">
      <c r="A72" s="17" t="n">
        <v>67</v>
      </c>
      <c r="B72" s="17" t="inlineStr">
        <is>
          <t>P67</t>
        </is>
      </c>
      <c r="C72" s="28" t="n">
        <v>26</v>
      </c>
      <c r="D72" s="28" t="n">
        <v>27</v>
      </c>
      <c r="E72" s="29" t="n">
        <v>0.25</v>
      </c>
      <c r="F72" s="29" t="n">
        <v>0.4</v>
      </c>
      <c r="G72" s="29" t="n">
        <v>2.5</v>
      </c>
      <c r="H72" s="29" t="n">
        <v>0</v>
      </c>
      <c r="I72" s="30" t="inlineStr">
        <is>
          <t>poutre</t>
        </is>
      </c>
      <c r="J72" s="31" t="n">
        <v>5</v>
      </c>
      <c r="K72" s="19" t="inlineStr">
        <is>
          <t>P67 — Sens X Niv3</t>
        </is>
      </c>
    </row>
    <row r="73" ht="14" customHeight="1">
      <c r="A73" s="35" t="n">
        <v>68</v>
      </c>
      <c r="B73" s="35" t="inlineStr">
        <is>
          <t>P68</t>
        </is>
      </c>
      <c r="C73" s="36" t="n">
        <v>28</v>
      </c>
      <c r="D73" s="36" t="n">
        <v>29</v>
      </c>
      <c r="E73" s="37" t="n">
        <v>0.25</v>
      </c>
      <c r="F73" s="37" t="n">
        <v>0.4</v>
      </c>
      <c r="G73" s="37" t="n">
        <v>2.5</v>
      </c>
      <c r="H73" s="37" t="n">
        <v>0</v>
      </c>
      <c r="I73" s="30" t="inlineStr">
        <is>
          <t>poutre</t>
        </is>
      </c>
      <c r="J73" s="31" t="n">
        <v>5</v>
      </c>
      <c r="K73" s="19" t="inlineStr">
        <is>
          <t>P68 — Sens X Niv3</t>
        </is>
      </c>
    </row>
    <row r="74" ht="14" customHeight="1">
      <c r="A74" s="17" t="n">
        <v>69</v>
      </c>
      <c r="B74" s="17" t="inlineStr">
        <is>
          <t>P69</t>
        </is>
      </c>
      <c r="C74" s="28" t="n">
        <v>29</v>
      </c>
      <c r="D74" s="28" t="n">
        <v>30</v>
      </c>
      <c r="E74" s="29" t="n">
        <v>0.25</v>
      </c>
      <c r="F74" s="29" t="n">
        <v>0.4</v>
      </c>
      <c r="G74" s="29" t="n">
        <v>2.5</v>
      </c>
      <c r="H74" s="29" t="n">
        <v>0</v>
      </c>
      <c r="I74" s="30" t="inlineStr">
        <is>
          <t>poutre</t>
        </is>
      </c>
      <c r="J74" s="31" t="n">
        <v>5</v>
      </c>
      <c r="K74" s="19" t="inlineStr">
        <is>
          <t>P69 — Sens X Niv3</t>
        </is>
      </c>
    </row>
    <row r="75" ht="14" customHeight="1">
      <c r="A75" s="35" t="n">
        <v>70</v>
      </c>
      <c r="B75" s="35" t="inlineStr">
        <is>
          <t>P70</t>
        </is>
      </c>
      <c r="C75" s="36" t="n">
        <v>31</v>
      </c>
      <c r="D75" s="36" t="n">
        <v>32</v>
      </c>
      <c r="E75" s="37" t="n">
        <v>0.25</v>
      </c>
      <c r="F75" s="37" t="n">
        <v>0.4</v>
      </c>
      <c r="G75" s="37" t="n">
        <v>2.5</v>
      </c>
      <c r="H75" s="37" t="n">
        <v>0</v>
      </c>
      <c r="I75" s="30" t="inlineStr">
        <is>
          <t>poutre</t>
        </is>
      </c>
      <c r="J75" s="31" t="n">
        <v>5</v>
      </c>
      <c r="K75" s="19" t="inlineStr">
        <is>
          <t>P70 — Sens X Niv3</t>
        </is>
      </c>
    </row>
    <row r="76" ht="14" customHeight="1">
      <c r="A76" s="17" t="n">
        <v>71</v>
      </c>
      <c r="B76" s="17" t="inlineStr">
        <is>
          <t>P71</t>
        </is>
      </c>
      <c r="C76" s="28" t="n">
        <v>32</v>
      </c>
      <c r="D76" s="28" t="n">
        <v>33</v>
      </c>
      <c r="E76" s="29" t="n">
        <v>0.25</v>
      </c>
      <c r="F76" s="29" t="n">
        <v>0.4</v>
      </c>
      <c r="G76" s="29" t="n">
        <v>2.5</v>
      </c>
      <c r="H76" s="29" t="n">
        <v>0</v>
      </c>
      <c r="I76" s="30" t="inlineStr">
        <is>
          <t>poutre</t>
        </is>
      </c>
      <c r="J76" s="31" t="n">
        <v>5</v>
      </c>
      <c r="K76" s="19" t="inlineStr">
        <is>
          <t>P71 — Sens X Niv3</t>
        </is>
      </c>
    </row>
    <row r="77" ht="14" customHeight="1">
      <c r="A77" s="35" t="n">
        <v>72</v>
      </c>
      <c r="B77" s="35" t="inlineStr">
        <is>
          <t>P72</t>
        </is>
      </c>
      <c r="C77" s="36" t="n">
        <v>34</v>
      </c>
      <c r="D77" s="36" t="n">
        <v>35</v>
      </c>
      <c r="E77" s="37" t="n">
        <v>0.25</v>
      </c>
      <c r="F77" s="37" t="n">
        <v>0.4</v>
      </c>
      <c r="G77" s="37" t="n">
        <v>2.5</v>
      </c>
      <c r="H77" s="37" t="n">
        <v>0</v>
      </c>
      <c r="I77" s="30" t="inlineStr">
        <is>
          <t>poutre</t>
        </is>
      </c>
      <c r="J77" s="31" t="n">
        <v>5</v>
      </c>
      <c r="K77" s="19" t="inlineStr">
        <is>
          <t>P72 — Sens X Niv3</t>
        </is>
      </c>
    </row>
    <row r="78" ht="14" customHeight="1">
      <c r="A78" s="17" t="n">
        <v>73</v>
      </c>
      <c r="B78" s="17" t="inlineStr">
        <is>
          <t>P73</t>
        </is>
      </c>
      <c r="C78" s="28" t="n">
        <v>35</v>
      </c>
      <c r="D78" s="28" t="n">
        <v>36</v>
      </c>
      <c r="E78" s="29" t="n">
        <v>0.25</v>
      </c>
      <c r="F78" s="29" t="n">
        <v>0.4</v>
      </c>
      <c r="G78" s="29" t="n">
        <v>2.5</v>
      </c>
      <c r="H78" s="29" t="n">
        <v>0</v>
      </c>
      <c r="I78" s="30" t="inlineStr">
        <is>
          <t>poutre</t>
        </is>
      </c>
      <c r="J78" s="31" t="n">
        <v>5</v>
      </c>
      <c r="K78" s="19" t="inlineStr">
        <is>
          <t>P73 — Sens X Niv3</t>
        </is>
      </c>
    </row>
    <row r="79" ht="14" customHeight="1">
      <c r="A79" s="35" t="n">
        <v>74</v>
      </c>
      <c r="B79" s="35" t="inlineStr">
        <is>
          <t>P74</t>
        </is>
      </c>
      <c r="C79" s="36" t="n">
        <v>25</v>
      </c>
      <c r="D79" s="36" t="n">
        <v>28</v>
      </c>
      <c r="E79" s="37" t="n">
        <v>0.25</v>
      </c>
      <c r="F79" s="37" t="n">
        <v>0.4</v>
      </c>
      <c r="G79" s="37" t="n">
        <v>2.5</v>
      </c>
      <c r="H79" s="37" t="n">
        <v>0</v>
      </c>
      <c r="I79" s="30" t="inlineStr">
        <is>
          <t>poutre</t>
        </is>
      </c>
      <c r="J79" s="31" t="n">
        <v>5</v>
      </c>
      <c r="K79" s="19" t="inlineStr">
        <is>
          <t>P74 — Sens Y Niv3</t>
        </is>
      </c>
    </row>
    <row r="80" ht="14" customHeight="1">
      <c r="A80" s="17" t="n">
        <v>75</v>
      </c>
      <c r="B80" s="17" t="inlineStr">
        <is>
          <t>P75</t>
        </is>
      </c>
      <c r="C80" s="28" t="n">
        <v>28</v>
      </c>
      <c r="D80" s="28" t="n">
        <v>31</v>
      </c>
      <c r="E80" s="29" t="n">
        <v>0.25</v>
      </c>
      <c r="F80" s="29" t="n">
        <v>0.4</v>
      </c>
      <c r="G80" s="29" t="n">
        <v>2.5</v>
      </c>
      <c r="H80" s="29" t="n">
        <v>0</v>
      </c>
      <c r="I80" s="30" t="inlineStr">
        <is>
          <t>poutre</t>
        </is>
      </c>
      <c r="J80" s="31" t="n">
        <v>5</v>
      </c>
      <c r="K80" s="19" t="inlineStr">
        <is>
          <t>P75 — Sens Y Niv3</t>
        </is>
      </c>
    </row>
    <row r="81" ht="14" customHeight="1">
      <c r="A81" s="35" t="n">
        <v>76</v>
      </c>
      <c r="B81" s="35" t="inlineStr">
        <is>
          <t>P76</t>
        </is>
      </c>
      <c r="C81" s="36" t="n">
        <v>31</v>
      </c>
      <c r="D81" s="36" t="n">
        <v>34</v>
      </c>
      <c r="E81" s="37" t="n">
        <v>0.25</v>
      </c>
      <c r="F81" s="37" t="n">
        <v>0.4</v>
      </c>
      <c r="G81" s="37" t="n">
        <v>2.5</v>
      </c>
      <c r="H81" s="37" t="n">
        <v>0</v>
      </c>
      <c r="I81" s="30" t="inlineStr">
        <is>
          <t>poutre</t>
        </is>
      </c>
      <c r="J81" s="31" t="n">
        <v>5</v>
      </c>
      <c r="K81" s="19" t="inlineStr">
        <is>
          <t>P76 — Sens Y Niv3</t>
        </is>
      </c>
    </row>
    <row r="82" ht="14" customHeight="1">
      <c r="A82" s="17" t="n">
        <v>77</v>
      </c>
      <c r="B82" s="17" t="inlineStr">
        <is>
          <t>P77</t>
        </is>
      </c>
      <c r="C82" s="28" t="n">
        <v>26</v>
      </c>
      <c r="D82" s="28" t="n">
        <v>29</v>
      </c>
      <c r="E82" s="29" t="n">
        <v>0.25</v>
      </c>
      <c r="F82" s="29" t="n">
        <v>0.4</v>
      </c>
      <c r="G82" s="29" t="n">
        <v>2.5</v>
      </c>
      <c r="H82" s="29" t="n">
        <v>0</v>
      </c>
      <c r="I82" s="30" t="inlineStr">
        <is>
          <t>poutre</t>
        </is>
      </c>
      <c r="J82" s="31" t="n">
        <v>5</v>
      </c>
      <c r="K82" s="19" t="inlineStr">
        <is>
          <t>P77 — Sens Y Niv3</t>
        </is>
      </c>
    </row>
    <row r="83" ht="14" customHeight="1">
      <c r="A83" s="35" t="n">
        <v>78</v>
      </c>
      <c r="B83" s="35" t="inlineStr">
        <is>
          <t>P78</t>
        </is>
      </c>
      <c r="C83" s="36" t="n">
        <v>29</v>
      </c>
      <c r="D83" s="36" t="n">
        <v>32</v>
      </c>
      <c r="E83" s="37" t="n">
        <v>0.25</v>
      </c>
      <c r="F83" s="37" t="n">
        <v>0.4</v>
      </c>
      <c r="G83" s="37" t="n">
        <v>2.5</v>
      </c>
      <c r="H83" s="37" t="n">
        <v>0</v>
      </c>
      <c r="I83" s="30" t="inlineStr">
        <is>
          <t>poutre</t>
        </is>
      </c>
      <c r="J83" s="31" t="n">
        <v>5</v>
      </c>
      <c r="K83" s="19" t="inlineStr">
        <is>
          <t>P78 — Sens Y Niv3</t>
        </is>
      </c>
    </row>
    <row r="84" ht="14" customHeight="1">
      <c r="A84" s="17" t="n">
        <v>79</v>
      </c>
      <c r="B84" s="17" t="inlineStr">
        <is>
          <t>P79</t>
        </is>
      </c>
      <c r="C84" s="28" t="n">
        <v>32</v>
      </c>
      <c r="D84" s="28" t="n">
        <v>35</v>
      </c>
      <c r="E84" s="29" t="n">
        <v>0.25</v>
      </c>
      <c r="F84" s="29" t="n">
        <v>0.4</v>
      </c>
      <c r="G84" s="29" t="n">
        <v>2.5</v>
      </c>
      <c r="H84" s="29" t="n">
        <v>0</v>
      </c>
      <c r="I84" s="30" t="inlineStr">
        <is>
          <t>poutre</t>
        </is>
      </c>
      <c r="J84" s="31" t="n">
        <v>5</v>
      </c>
      <c r="K84" s="19" t="inlineStr">
        <is>
          <t>P79 — Sens Y Niv3</t>
        </is>
      </c>
    </row>
    <row r="85" ht="14" customHeight="1">
      <c r="A85" s="35" t="n">
        <v>80</v>
      </c>
      <c r="B85" s="35" t="inlineStr">
        <is>
          <t>P80</t>
        </is>
      </c>
      <c r="C85" s="36" t="n">
        <v>27</v>
      </c>
      <c r="D85" s="36" t="n">
        <v>30</v>
      </c>
      <c r="E85" s="37" t="n">
        <v>0.25</v>
      </c>
      <c r="F85" s="37" t="n">
        <v>0.4</v>
      </c>
      <c r="G85" s="37" t="n">
        <v>2.5</v>
      </c>
      <c r="H85" s="37" t="n">
        <v>0</v>
      </c>
      <c r="I85" s="30" t="inlineStr">
        <is>
          <t>poutre</t>
        </is>
      </c>
      <c r="J85" s="31" t="n">
        <v>5</v>
      </c>
      <c r="K85" s="19" t="inlineStr">
        <is>
          <t>P80 — Sens Y Niv3</t>
        </is>
      </c>
    </row>
    <row r="86" ht="14" customHeight="1">
      <c r="A86" s="17" t="n">
        <v>81</v>
      </c>
      <c r="B86" s="17" t="inlineStr">
        <is>
          <t>P81</t>
        </is>
      </c>
      <c r="C86" s="28" t="n">
        <v>30</v>
      </c>
      <c r="D86" s="28" t="n">
        <v>33</v>
      </c>
      <c r="E86" s="29" t="n">
        <v>0.25</v>
      </c>
      <c r="F86" s="29" t="n">
        <v>0.4</v>
      </c>
      <c r="G86" s="29" t="n">
        <v>2.5</v>
      </c>
      <c r="H86" s="29" t="n">
        <v>0</v>
      </c>
      <c r="I86" s="30" t="inlineStr">
        <is>
          <t>poutre</t>
        </is>
      </c>
      <c r="J86" s="31" t="n">
        <v>5</v>
      </c>
      <c r="K86" s="19" t="inlineStr">
        <is>
          <t>P81 — Sens Y Niv3</t>
        </is>
      </c>
    </row>
    <row r="87" ht="14" customHeight="1">
      <c r="A87" s="35" t="n">
        <v>82</v>
      </c>
      <c r="B87" s="35" t="inlineStr">
        <is>
          <t>P82</t>
        </is>
      </c>
      <c r="C87" s="36" t="n">
        <v>33</v>
      </c>
      <c r="D87" s="36" t="n">
        <v>36</v>
      </c>
      <c r="E87" s="37" t="n">
        <v>0.25</v>
      </c>
      <c r="F87" s="37" t="n">
        <v>0.4</v>
      </c>
      <c r="G87" s="37" t="n">
        <v>2.5</v>
      </c>
      <c r="H87" s="37" t="n">
        <v>0</v>
      </c>
      <c r="I87" s="30" t="inlineStr">
        <is>
          <t>poutre</t>
        </is>
      </c>
      <c r="J87" s="31" t="n">
        <v>5</v>
      </c>
      <c r="K87" s="19" t="inlineStr">
        <is>
          <t>P82 — Sens Y Niv3</t>
        </is>
      </c>
    </row>
    <row r="88" ht="14" customHeight="1">
      <c r="A88" s="17" t="n">
        <v>83</v>
      </c>
      <c r="B88" s="17" t="inlineStr">
        <is>
          <t>P83</t>
        </is>
      </c>
      <c r="C88" s="28" t="n">
        <v>37</v>
      </c>
      <c r="D88" s="28" t="n">
        <v>38</v>
      </c>
      <c r="E88" s="29" t="n">
        <v>0.25</v>
      </c>
      <c r="F88" s="29" t="n">
        <v>0.4</v>
      </c>
      <c r="G88" s="29" t="n">
        <v>2.5</v>
      </c>
      <c r="H88" s="29" t="n">
        <v>0</v>
      </c>
      <c r="I88" s="30" t="inlineStr">
        <is>
          <t>poutre</t>
        </is>
      </c>
      <c r="J88" s="31" t="n">
        <v>5</v>
      </c>
      <c r="K88" s="19" t="inlineStr">
        <is>
          <t>P83 — Sens X Niv4</t>
        </is>
      </c>
    </row>
    <row r="89" ht="14" customHeight="1">
      <c r="A89" s="35" t="n">
        <v>84</v>
      </c>
      <c r="B89" s="35" t="inlineStr">
        <is>
          <t>P84</t>
        </is>
      </c>
      <c r="C89" s="36" t="n">
        <v>38</v>
      </c>
      <c r="D89" s="36" t="n">
        <v>39</v>
      </c>
      <c r="E89" s="37" t="n">
        <v>0.25</v>
      </c>
      <c r="F89" s="37" t="n">
        <v>0.4</v>
      </c>
      <c r="G89" s="37" t="n">
        <v>2.5</v>
      </c>
      <c r="H89" s="37" t="n">
        <v>0</v>
      </c>
      <c r="I89" s="30" t="inlineStr">
        <is>
          <t>poutre</t>
        </is>
      </c>
      <c r="J89" s="31" t="n">
        <v>5</v>
      </c>
      <c r="K89" s="19" t="inlineStr">
        <is>
          <t>P84 — Sens X Niv4</t>
        </is>
      </c>
    </row>
    <row r="90" ht="14" customHeight="1">
      <c r="A90" s="17" t="n">
        <v>85</v>
      </c>
      <c r="B90" s="17" t="inlineStr">
        <is>
          <t>P85</t>
        </is>
      </c>
      <c r="C90" s="28" t="n">
        <v>40</v>
      </c>
      <c r="D90" s="28" t="n">
        <v>41</v>
      </c>
      <c r="E90" s="29" t="n">
        <v>0.25</v>
      </c>
      <c r="F90" s="29" t="n">
        <v>0.4</v>
      </c>
      <c r="G90" s="29" t="n">
        <v>2.5</v>
      </c>
      <c r="H90" s="29" t="n">
        <v>0</v>
      </c>
      <c r="I90" s="30" t="inlineStr">
        <is>
          <t>poutre</t>
        </is>
      </c>
      <c r="J90" s="31" t="n">
        <v>5</v>
      </c>
      <c r="K90" s="19" t="inlineStr">
        <is>
          <t>P85 — Sens X Niv4</t>
        </is>
      </c>
    </row>
    <row r="91" ht="14" customHeight="1">
      <c r="A91" s="35" t="n">
        <v>86</v>
      </c>
      <c r="B91" s="35" t="inlineStr">
        <is>
          <t>P86</t>
        </is>
      </c>
      <c r="C91" s="36" t="n">
        <v>41</v>
      </c>
      <c r="D91" s="36" t="n">
        <v>42</v>
      </c>
      <c r="E91" s="37" t="n">
        <v>0.25</v>
      </c>
      <c r="F91" s="37" t="n">
        <v>0.4</v>
      </c>
      <c r="G91" s="37" t="n">
        <v>2.5</v>
      </c>
      <c r="H91" s="37" t="n">
        <v>0</v>
      </c>
      <c r="I91" s="30" t="inlineStr">
        <is>
          <t>poutre</t>
        </is>
      </c>
      <c r="J91" s="31" t="n">
        <v>5</v>
      </c>
      <c r="K91" s="19" t="inlineStr">
        <is>
          <t>P86 — Sens X Niv4</t>
        </is>
      </c>
    </row>
    <row r="92" ht="14" customHeight="1">
      <c r="A92" s="17" t="n">
        <v>87</v>
      </c>
      <c r="B92" s="17" t="inlineStr">
        <is>
          <t>P87</t>
        </is>
      </c>
      <c r="C92" s="28" t="n">
        <v>43</v>
      </c>
      <c r="D92" s="28" t="n">
        <v>44</v>
      </c>
      <c r="E92" s="29" t="n">
        <v>0.25</v>
      </c>
      <c r="F92" s="29" t="n">
        <v>0.4</v>
      </c>
      <c r="G92" s="29" t="n">
        <v>2.5</v>
      </c>
      <c r="H92" s="29" t="n">
        <v>0</v>
      </c>
      <c r="I92" s="30" t="inlineStr">
        <is>
          <t>poutre</t>
        </is>
      </c>
      <c r="J92" s="31" t="n">
        <v>5</v>
      </c>
      <c r="K92" s="19" t="inlineStr">
        <is>
          <t>P87 — Sens X Niv4</t>
        </is>
      </c>
    </row>
    <row r="93" ht="14" customHeight="1">
      <c r="A93" s="35" t="n">
        <v>88</v>
      </c>
      <c r="B93" s="35" t="inlineStr">
        <is>
          <t>P88</t>
        </is>
      </c>
      <c r="C93" s="36" t="n">
        <v>44</v>
      </c>
      <c r="D93" s="36" t="n">
        <v>45</v>
      </c>
      <c r="E93" s="37" t="n">
        <v>0.25</v>
      </c>
      <c r="F93" s="37" t="n">
        <v>0.4</v>
      </c>
      <c r="G93" s="37" t="n">
        <v>2.5</v>
      </c>
      <c r="H93" s="37" t="n">
        <v>0</v>
      </c>
      <c r="I93" s="30" t="inlineStr">
        <is>
          <t>poutre</t>
        </is>
      </c>
      <c r="J93" s="31" t="n">
        <v>5</v>
      </c>
      <c r="K93" s="19" t="inlineStr">
        <is>
          <t>P88 — Sens X Niv4</t>
        </is>
      </c>
    </row>
    <row r="94" ht="14" customHeight="1">
      <c r="A94" s="17" t="n">
        <v>89</v>
      </c>
      <c r="B94" s="17" t="inlineStr">
        <is>
          <t>P89</t>
        </is>
      </c>
      <c r="C94" s="28" t="n">
        <v>46</v>
      </c>
      <c r="D94" s="28" t="n">
        <v>47</v>
      </c>
      <c r="E94" s="29" t="n">
        <v>0.25</v>
      </c>
      <c r="F94" s="29" t="n">
        <v>0.4</v>
      </c>
      <c r="G94" s="29" t="n">
        <v>2.5</v>
      </c>
      <c r="H94" s="29" t="n">
        <v>0</v>
      </c>
      <c r="I94" s="30" t="inlineStr">
        <is>
          <t>poutre</t>
        </is>
      </c>
      <c r="J94" s="31" t="n">
        <v>5</v>
      </c>
      <c r="K94" s="19" t="inlineStr">
        <is>
          <t>P89 — Sens X Niv4</t>
        </is>
      </c>
    </row>
    <row r="95" ht="14" customHeight="1">
      <c r="A95" s="35" t="n">
        <v>90</v>
      </c>
      <c r="B95" s="35" t="inlineStr">
        <is>
          <t>P90</t>
        </is>
      </c>
      <c r="C95" s="36" t="n">
        <v>47</v>
      </c>
      <c r="D95" s="36" t="n">
        <v>48</v>
      </c>
      <c r="E95" s="37" t="n">
        <v>0.25</v>
      </c>
      <c r="F95" s="37" t="n">
        <v>0.4</v>
      </c>
      <c r="G95" s="37" t="n">
        <v>2.5</v>
      </c>
      <c r="H95" s="37" t="n">
        <v>0</v>
      </c>
      <c r="I95" s="30" t="inlineStr">
        <is>
          <t>poutre</t>
        </is>
      </c>
      <c r="J95" s="31" t="n">
        <v>5</v>
      </c>
      <c r="K95" s="19" t="inlineStr">
        <is>
          <t>P90 — Sens X Niv4</t>
        </is>
      </c>
    </row>
    <row r="96" ht="14" customHeight="1">
      <c r="A96" s="17" t="n">
        <v>91</v>
      </c>
      <c r="B96" s="17" t="inlineStr">
        <is>
          <t>P91</t>
        </is>
      </c>
      <c r="C96" s="28" t="n">
        <v>37</v>
      </c>
      <c r="D96" s="28" t="n">
        <v>40</v>
      </c>
      <c r="E96" s="29" t="n">
        <v>0.25</v>
      </c>
      <c r="F96" s="29" t="n">
        <v>0.4</v>
      </c>
      <c r="G96" s="29" t="n">
        <v>2.5</v>
      </c>
      <c r="H96" s="29" t="n">
        <v>0</v>
      </c>
      <c r="I96" s="30" t="inlineStr">
        <is>
          <t>poutre</t>
        </is>
      </c>
      <c r="J96" s="31" t="n">
        <v>5</v>
      </c>
      <c r="K96" s="19" t="inlineStr">
        <is>
          <t>P91 — Sens Y Niv4</t>
        </is>
      </c>
    </row>
    <row r="97" ht="14" customHeight="1">
      <c r="A97" s="35" t="n">
        <v>92</v>
      </c>
      <c r="B97" s="35" t="inlineStr">
        <is>
          <t>P92</t>
        </is>
      </c>
      <c r="C97" s="36" t="n">
        <v>40</v>
      </c>
      <c r="D97" s="36" t="n">
        <v>43</v>
      </c>
      <c r="E97" s="37" t="n">
        <v>0.25</v>
      </c>
      <c r="F97" s="37" t="n">
        <v>0.4</v>
      </c>
      <c r="G97" s="37" t="n">
        <v>2.5</v>
      </c>
      <c r="H97" s="37" t="n">
        <v>0</v>
      </c>
      <c r="I97" s="30" t="inlineStr">
        <is>
          <t>poutre</t>
        </is>
      </c>
      <c r="J97" s="31" t="n">
        <v>5</v>
      </c>
      <c r="K97" s="19" t="inlineStr">
        <is>
          <t>P92 — Sens Y Niv4</t>
        </is>
      </c>
    </row>
    <row r="98" ht="14" customHeight="1">
      <c r="A98" s="17" t="n">
        <v>93</v>
      </c>
      <c r="B98" s="17" t="inlineStr">
        <is>
          <t>P93</t>
        </is>
      </c>
      <c r="C98" s="28" t="n">
        <v>43</v>
      </c>
      <c r="D98" s="28" t="n">
        <v>46</v>
      </c>
      <c r="E98" s="29" t="n">
        <v>0.25</v>
      </c>
      <c r="F98" s="29" t="n">
        <v>0.4</v>
      </c>
      <c r="G98" s="29" t="n">
        <v>2.5</v>
      </c>
      <c r="H98" s="29" t="n">
        <v>0</v>
      </c>
      <c r="I98" s="30" t="inlineStr">
        <is>
          <t>poutre</t>
        </is>
      </c>
      <c r="J98" s="31" t="n">
        <v>5</v>
      </c>
      <c r="K98" s="19" t="inlineStr">
        <is>
          <t>P93 — Sens Y Niv4</t>
        </is>
      </c>
    </row>
    <row r="99" ht="14" customHeight="1">
      <c r="A99" s="35" t="n">
        <v>94</v>
      </c>
      <c r="B99" s="35" t="inlineStr">
        <is>
          <t>P94</t>
        </is>
      </c>
      <c r="C99" s="36" t="n">
        <v>38</v>
      </c>
      <c r="D99" s="36" t="n">
        <v>41</v>
      </c>
      <c r="E99" s="37" t="n">
        <v>0.25</v>
      </c>
      <c r="F99" s="37" t="n">
        <v>0.4</v>
      </c>
      <c r="G99" s="37" t="n">
        <v>2.5</v>
      </c>
      <c r="H99" s="37" t="n">
        <v>0</v>
      </c>
      <c r="I99" s="30" t="inlineStr">
        <is>
          <t>poutre</t>
        </is>
      </c>
      <c r="J99" s="31" t="n">
        <v>5</v>
      </c>
      <c r="K99" s="19" t="inlineStr">
        <is>
          <t>P94 — Sens Y Niv4</t>
        </is>
      </c>
    </row>
    <row r="100" ht="14" customHeight="1">
      <c r="A100" s="17" t="n">
        <v>95</v>
      </c>
      <c r="B100" s="17" t="inlineStr">
        <is>
          <t>P95</t>
        </is>
      </c>
      <c r="C100" s="28" t="n">
        <v>41</v>
      </c>
      <c r="D100" s="28" t="n">
        <v>44</v>
      </c>
      <c r="E100" s="29" t="n">
        <v>0.25</v>
      </c>
      <c r="F100" s="29" t="n">
        <v>0.4</v>
      </c>
      <c r="G100" s="29" t="n">
        <v>2.5</v>
      </c>
      <c r="H100" s="29" t="n">
        <v>0</v>
      </c>
      <c r="I100" s="30" t="inlineStr">
        <is>
          <t>poutre</t>
        </is>
      </c>
      <c r="J100" s="31" t="n">
        <v>5</v>
      </c>
      <c r="K100" s="19" t="inlineStr">
        <is>
          <t>P95 — Sens Y Niv4</t>
        </is>
      </c>
    </row>
    <row r="101" ht="14" customHeight="1">
      <c r="A101" s="35" t="n">
        <v>96</v>
      </c>
      <c r="B101" s="35" t="inlineStr">
        <is>
          <t>P96</t>
        </is>
      </c>
      <c r="C101" s="36" t="n">
        <v>44</v>
      </c>
      <c r="D101" s="36" t="n">
        <v>47</v>
      </c>
      <c r="E101" s="37" t="n">
        <v>0.25</v>
      </c>
      <c r="F101" s="37" t="n">
        <v>0.4</v>
      </c>
      <c r="G101" s="37" t="n">
        <v>2.5</v>
      </c>
      <c r="H101" s="37" t="n">
        <v>0</v>
      </c>
      <c r="I101" s="30" t="inlineStr">
        <is>
          <t>poutre</t>
        </is>
      </c>
      <c r="J101" s="31" t="n">
        <v>5</v>
      </c>
      <c r="K101" s="19" t="inlineStr">
        <is>
          <t>P96 — Sens Y Niv4</t>
        </is>
      </c>
    </row>
    <row r="102" ht="14" customHeight="1">
      <c r="A102" s="17" t="n">
        <v>97</v>
      </c>
      <c r="B102" s="17" t="inlineStr">
        <is>
          <t>P97</t>
        </is>
      </c>
      <c r="C102" s="28" t="n">
        <v>39</v>
      </c>
      <c r="D102" s="28" t="n">
        <v>42</v>
      </c>
      <c r="E102" s="29" t="n">
        <v>0.25</v>
      </c>
      <c r="F102" s="29" t="n">
        <v>0.4</v>
      </c>
      <c r="G102" s="29" t="n">
        <v>2.5</v>
      </c>
      <c r="H102" s="29" t="n">
        <v>0</v>
      </c>
      <c r="I102" s="30" t="inlineStr">
        <is>
          <t>poutre</t>
        </is>
      </c>
      <c r="J102" s="31" t="n">
        <v>5</v>
      </c>
      <c r="K102" s="19" t="inlineStr">
        <is>
          <t>P97 — Sens Y Niv4</t>
        </is>
      </c>
    </row>
    <row r="103" ht="14" customHeight="1">
      <c r="A103" s="35" t="n">
        <v>98</v>
      </c>
      <c r="B103" s="35" t="inlineStr">
        <is>
          <t>P98</t>
        </is>
      </c>
      <c r="C103" s="36" t="n">
        <v>42</v>
      </c>
      <c r="D103" s="36" t="n">
        <v>45</v>
      </c>
      <c r="E103" s="37" t="n">
        <v>0.25</v>
      </c>
      <c r="F103" s="37" t="n">
        <v>0.4</v>
      </c>
      <c r="G103" s="37" t="n">
        <v>2.5</v>
      </c>
      <c r="H103" s="37" t="n">
        <v>0</v>
      </c>
      <c r="I103" s="30" t="inlineStr">
        <is>
          <t>poutre</t>
        </is>
      </c>
      <c r="J103" s="31" t="n">
        <v>5</v>
      </c>
      <c r="K103" s="19" t="inlineStr">
        <is>
          <t>P98 — Sens Y Niv4</t>
        </is>
      </c>
    </row>
    <row r="104" ht="14" customHeight="1">
      <c r="A104" s="17" t="n">
        <v>99</v>
      </c>
      <c r="B104" s="17" t="inlineStr">
        <is>
          <t>P99</t>
        </is>
      </c>
      <c r="C104" s="28" t="n">
        <v>45</v>
      </c>
      <c r="D104" s="28" t="n">
        <v>48</v>
      </c>
      <c r="E104" s="29" t="n">
        <v>0.25</v>
      </c>
      <c r="F104" s="29" t="n">
        <v>0.4</v>
      </c>
      <c r="G104" s="29" t="n">
        <v>2.5</v>
      </c>
      <c r="H104" s="29" t="n">
        <v>0</v>
      </c>
      <c r="I104" s="30" t="inlineStr">
        <is>
          <t>poutre</t>
        </is>
      </c>
      <c r="J104" s="31" t="n">
        <v>5</v>
      </c>
      <c r="K104" s="19" t="inlineStr">
        <is>
          <t>P99 — Sens Y Niv4</t>
        </is>
      </c>
    </row>
    <row r="105" ht="14" customHeight="1">
      <c r="A105" s="35" t="n">
        <v>100</v>
      </c>
      <c r="B105" s="35" t="inlineStr">
        <is>
          <t>P100</t>
        </is>
      </c>
      <c r="C105" s="36" t="n">
        <v>49</v>
      </c>
      <c r="D105" s="36" t="n">
        <v>50</v>
      </c>
      <c r="E105" s="37" t="n">
        <v>0.25</v>
      </c>
      <c r="F105" s="37" t="n">
        <v>0.4</v>
      </c>
      <c r="G105" s="37" t="n">
        <v>2.5</v>
      </c>
      <c r="H105" s="37" t="n">
        <v>0</v>
      </c>
      <c r="I105" s="30" t="inlineStr">
        <is>
          <t>poutre</t>
        </is>
      </c>
      <c r="J105" s="31" t="n">
        <v>5</v>
      </c>
      <c r="K105" s="19" t="inlineStr">
        <is>
          <t>P100 — Sens X Niv5</t>
        </is>
      </c>
    </row>
    <row r="106" ht="14" customHeight="1">
      <c r="A106" s="17" t="n">
        <v>101</v>
      </c>
      <c r="B106" s="17" t="inlineStr">
        <is>
          <t>P101</t>
        </is>
      </c>
      <c r="C106" s="28" t="n">
        <v>50</v>
      </c>
      <c r="D106" s="28" t="n">
        <v>51</v>
      </c>
      <c r="E106" s="29" t="n">
        <v>0.25</v>
      </c>
      <c r="F106" s="29" t="n">
        <v>0.4</v>
      </c>
      <c r="G106" s="29" t="n">
        <v>2.5</v>
      </c>
      <c r="H106" s="29" t="n">
        <v>0</v>
      </c>
      <c r="I106" s="30" t="inlineStr">
        <is>
          <t>poutre</t>
        </is>
      </c>
      <c r="J106" s="31" t="n">
        <v>5</v>
      </c>
      <c r="K106" s="19" t="inlineStr">
        <is>
          <t>P101 — Sens X Niv5</t>
        </is>
      </c>
    </row>
    <row r="107" ht="14" customHeight="1">
      <c r="A107" s="35" t="n">
        <v>102</v>
      </c>
      <c r="B107" s="35" t="inlineStr">
        <is>
          <t>P102</t>
        </is>
      </c>
      <c r="C107" s="36" t="n">
        <v>52</v>
      </c>
      <c r="D107" s="36" t="n">
        <v>53</v>
      </c>
      <c r="E107" s="37" t="n">
        <v>0.25</v>
      </c>
      <c r="F107" s="37" t="n">
        <v>0.4</v>
      </c>
      <c r="G107" s="37" t="n">
        <v>2.5</v>
      </c>
      <c r="H107" s="37" t="n">
        <v>0</v>
      </c>
      <c r="I107" s="30" t="inlineStr">
        <is>
          <t>poutre</t>
        </is>
      </c>
      <c r="J107" s="31" t="n">
        <v>5</v>
      </c>
      <c r="K107" s="19" t="inlineStr">
        <is>
          <t>P102 — Sens X Niv5</t>
        </is>
      </c>
    </row>
    <row r="108" ht="14" customHeight="1">
      <c r="A108" s="17" t="n">
        <v>103</v>
      </c>
      <c r="B108" s="17" t="inlineStr">
        <is>
          <t>P103</t>
        </is>
      </c>
      <c r="C108" s="28" t="n">
        <v>53</v>
      </c>
      <c r="D108" s="28" t="n">
        <v>54</v>
      </c>
      <c r="E108" s="29" t="n">
        <v>0.25</v>
      </c>
      <c r="F108" s="29" t="n">
        <v>0.4</v>
      </c>
      <c r="G108" s="29" t="n">
        <v>2.5</v>
      </c>
      <c r="H108" s="29" t="n">
        <v>0</v>
      </c>
      <c r="I108" s="30" t="inlineStr">
        <is>
          <t>poutre</t>
        </is>
      </c>
      <c r="J108" s="31" t="n">
        <v>5</v>
      </c>
      <c r="K108" s="19" t="inlineStr">
        <is>
          <t>P103 — Sens X Niv5</t>
        </is>
      </c>
    </row>
    <row r="109" ht="14" customHeight="1">
      <c r="A109" s="35" t="n">
        <v>104</v>
      </c>
      <c r="B109" s="35" t="inlineStr">
        <is>
          <t>P104</t>
        </is>
      </c>
      <c r="C109" s="36" t="n">
        <v>55</v>
      </c>
      <c r="D109" s="36" t="n">
        <v>56</v>
      </c>
      <c r="E109" s="37" t="n">
        <v>0.25</v>
      </c>
      <c r="F109" s="37" t="n">
        <v>0.4</v>
      </c>
      <c r="G109" s="37" t="n">
        <v>2.5</v>
      </c>
      <c r="H109" s="37" t="n">
        <v>0</v>
      </c>
      <c r="I109" s="30" t="inlineStr">
        <is>
          <t>poutre</t>
        </is>
      </c>
      <c r="J109" s="31" t="n">
        <v>5</v>
      </c>
      <c r="K109" s="19" t="inlineStr">
        <is>
          <t>P104 — Sens X Niv5</t>
        </is>
      </c>
    </row>
    <row r="110" ht="14" customHeight="1">
      <c r="A110" s="17" t="n">
        <v>105</v>
      </c>
      <c r="B110" s="17" t="inlineStr">
        <is>
          <t>P105</t>
        </is>
      </c>
      <c r="C110" s="28" t="n">
        <v>56</v>
      </c>
      <c r="D110" s="28" t="n">
        <v>57</v>
      </c>
      <c r="E110" s="29" t="n">
        <v>0.25</v>
      </c>
      <c r="F110" s="29" t="n">
        <v>0.4</v>
      </c>
      <c r="G110" s="29" t="n">
        <v>2.5</v>
      </c>
      <c r="H110" s="29" t="n">
        <v>0</v>
      </c>
      <c r="I110" s="30" t="inlineStr">
        <is>
          <t>poutre</t>
        </is>
      </c>
      <c r="J110" s="31" t="n">
        <v>5</v>
      </c>
      <c r="K110" s="19" t="inlineStr">
        <is>
          <t>P105 — Sens X Niv5</t>
        </is>
      </c>
    </row>
    <row r="111" ht="14" customHeight="1">
      <c r="A111" s="35" t="n">
        <v>106</v>
      </c>
      <c r="B111" s="35" t="inlineStr">
        <is>
          <t>P106</t>
        </is>
      </c>
      <c r="C111" s="36" t="n">
        <v>58</v>
      </c>
      <c r="D111" s="36" t="n">
        <v>59</v>
      </c>
      <c r="E111" s="37" t="n">
        <v>0.25</v>
      </c>
      <c r="F111" s="37" t="n">
        <v>0.4</v>
      </c>
      <c r="G111" s="37" t="n">
        <v>2.5</v>
      </c>
      <c r="H111" s="37" t="n">
        <v>0</v>
      </c>
      <c r="I111" s="30" t="inlineStr">
        <is>
          <t>poutre</t>
        </is>
      </c>
      <c r="J111" s="31" t="n">
        <v>5</v>
      </c>
      <c r="K111" s="19" t="inlineStr">
        <is>
          <t>P106 — Sens X Niv5</t>
        </is>
      </c>
    </row>
    <row r="112" ht="14" customHeight="1">
      <c r="A112" s="17" t="n">
        <v>107</v>
      </c>
      <c r="B112" s="17" t="inlineStr">
        <is>
          <t>P107</t>
        </is>
      </c>
      <c r="C112" s="28" t="n">
        <v>59</v>
      </c>
      <c r="D112" s="28" t="n">
        <v>60</v>
      </c>
      <c r="E112" s="29" t="n">
        <v>0.25</v>
      </c>
      <c r="F112" s="29" t="n">
        <v>0.4</v>
      </c>
      <c r="G112" s="29" t="n">
        <v>2.5</v>
      </c>
      <c r="H112" s="29" t="n">
        <v>0</v>
      </c>
      <c r="I112" s="30" t="inlineStr">
        <is>
          <t>poutre</t>
        </is>
      </c>
      <c r="J112" s="31" t="n">
        <v>5</v>
      </c>
      <c r="K112" s="19" t="inlineStr">
        <is>
          <t>P107 — Sens X Niv5</t>
        </is>
      </c>
    </row>
    <row r="113" ht="14" customHeight="1">
      <c r="A113" s="35" t="n">
        <v>108</v>
      </c>
      <c r="B113" s="35" t="inlineStr">
        <is>
          <t>P108</t>
        </is>
      </c>
      <c r="C113" s="36" t="n">
        <v>49</v>
      </c>
      <c r="D113" s="36" t="n">
        <v>52</v>
      </c>
      <c r="E113" s="37" t="n">
        <v>0.25</v>
      </c>
      <c r="F113" s="37" t="n">
        <v>0.4</v>
      </c>
      <c r="G113" s="37" t="n">
        <v>2.5</v>
      </c>
      <c r="H113" s="37" t="n">
        <v>0</v>
      </c>
      <c r="I113" s="30" t="inlineStr">
        <is>
          <t>poutre</t>
        </is>
      </c>
      <c r="J113" s="31" t="n">
        <v>5</v>
      </c>
      <c r="K113" s="19" t="inlineStr">
        <is>
          <t>P108 — Sens Y Niv5</t>
        </is>
      </c>
    </row>
    <row r="114" ht="14" customHeight="1">
      <c r="A114" s="17" t="n">
        <v>109</v>
      </c>
      <c r="B114" s="17" t="inlineStr">
        <is>
          <t>P109</t>
        </is>
      </c>
      <c r="C114" s="28" t="n">
        <v>52</v>
      </c>
      <c r="D114" s="28" t="n">
        <v>55</v>
      </c>
      <c r="E114" s="29" t="n">
        <v>0.25</v>
      </c>
      <c r="F114" s="29" t="n">
        <v>0.4</v>
      </c>
      <c r="G114" s="29" t="n">
        <v>2.5</v>
      </c>
      <c r="H114" s="29" t="n">
        <v>0</v>
      </c>
      <c r="I114" s="30" t="inlineStr">
        <is>
          <t>poutre</t>
        </is>
      </c>
      <c r="J114" s="31" t="n">
        <v>5</v>
      </c>
      <c r="K114" s="19" t="inlineStr">
        <is>
          <t>P109 — Sens Y Niv5</t>
        </is>
      </c>
    </row>
    <row r="115" ht="14" customHeight="1">
      <c r="A115" s="35" t="n">
        <v>110</v>
      </c>
      <c r="B115" s="35" t="inlineStr">
        <is>
          <t>P110</t>
        </is>
      </c>
      <c r="C115" s="36" t="n">
        <v>55</v>
      </c>
      <c r="D115" s="36" t="n">
        <v>58</v>
      </c>
      <c r="E115" s="37" t="n">
        <v>0.25</v>
      </c>
      <c r="F115" s="37" t="n">
        <v>0.4</v>
      </c>
      <c r="G115" s="37" t="n">
        <v>2.5</v>
      </c>
      <c r="H115" s="37" t="n">
        <v>0</v>
      </c>
      <c r="I115" s="30" t="inlineStr">
        <is>
          <t>poutre</t>
        </is>
      </c>
      <c r="J115" s="31" t="n">
        <v>5</v>
      </c>
      <c r="K115" s="19" t="inlineStr">
        <is>
          <t>P110 — Sens Y Niv5</t>
        </is>
      </c>
    </row>
    <row r="116" ht="14" customHeight="1">
      <c r="A116" s="17" t="n">
        <v>111</v>
      </c>
      <c r="B116" s="17" t="inlineStr">
        <is>
          <t>P111</t>
        </is>
      </c>
      <c r="C116" s="28" t="n">
        <v>50</v>
      </c>
      <c r="D116" s="28" t="n">
        <v>53</v>
      </c>
      <c r="E116" s="29" t="n">
        <v>0.25</v>
      </c>
      <c r="F116" s="29" t="n">
        <v>0.4</v>
      </c>
      <c r="G116" s="29" t="n">
        <v>2.5</v>
      </c>
      <c r="H116" s="29" t="n">
        <v>0</v>
      </c>
      <c r="I116" s="30" t="inlineStr">
        <is>
          <t>poutre</t>
        </is>
      </c>
      <c r="J116" s="31" t="n">
        <v>5</v>
      </c>
      <c r="K116" s="19" t="inlineStr">
        <is>
          <t>P111 — Sens Y Niv5</t>
        </is>
      </c>
    </row>
    <row r="117" ht="14" customHeight="1">
      <c r="A117" s="35" t="n">
        <v>112</v>
      </c>
      <c r="B117" s="35" t="inlineStr">
        <is>
          <t>P112</t>
        </is>
      </c>
      <c r="C117" s="36" t="n">
        <v>53</v>
      </c>
      <c r="D117" s="36" t="n">
        <v>56</v>
      </c>
      <c r="E117" s="37" t="n">
        <v>0.25</v>
      </c>
      <c r="F117" s="37" t="n">
        <v>0.4</v>
      </c>
      <c r="G117" s="37" t="n">
        <v>2.5</v>
      </c>
      <c r="H117" s="37" t="n">
        <v>0</v>
      </c>
      <c r="I117" s="30" t="inlineStr">
        <is>
          <t>poutre</t>
        </is>
      </c>
      <c r="J117" s="31" t="n">
        <v>5</v>
      </c>
      <c r="K117" s="19" t="inlineStr">
        <is>
          <t>P112 — Sens Y Niv5</t>
        </is>
      </c>
    </row>
    <row r="118" ht="14" customHeight="1">
      <c r="A118" s="17" t="n">
        <v>113</v>
      </c>
      <c r="B118" s="17" t="inlineStr">
        <is>
          <t>P113</t>
        </is>
      </c>
      <c r="C118" s="28" t="n">
        <v>56</v>
      </c>
      <c r="D118" s="28" t="n">
        <v>59</v>
      </c>
      <c r="E118" s="29" t="n">
        <v>0.25</v>
      </c>
      <c r="F118" s="29" t="n">
        <v>0.4</v>
      </c>
      <c r="G118" s="29" t="n">
        <v>2.5</v>
      </c>
      <c r="H118" s="29" t="n">
        <v>0</v>
      </c>
      <c r="I118" s="30" t="inlineStr">
        <is>
          <t>poutre</t>
        </is>
      </c>
      <c r="J118" s="31" t="n">
        <v>5</v>
      </c>
      <c r="K118" s="19" t="inlineStr">
        <is>
          <t>P113 — Sens Y Niv5</t>
        </is>
      </c>
    </row>
    <row r="119" ht="14" customHeight="1">
      <c r="A119" s="35" t="n">
        <v>114</v>
      </c>
      <c r="B119" s="35" t="inlineStr">
        <is>
          <t>P114</t>
        </is>
      </c>
      <c r="C119" s="36" t="n">
        <v>51</v>
      </c>
      <c r="D119" s="36" t="n">
        <v>54</v>
      </c>
      <c r="E119" s="37" t="n">
        <v>0.25</v>
      </c>
      <c r="F119" s="37" t="n">
        <v>0.4</v>
      </c>
      <c r="G119" s="37" t="n">
        <v>2.5</v>
      </c>
      <c r="H119" s="37" t="n">
        <v>0</v>
      </c>
      <c r="I119" s="30" t="inlineStr">
        <is>
          <t>poutre</t>
        </is>
      </c>
      <c r="J119" s="31" t="n">
        <v>5</v>
      </c>
      <c r="K119" s="19" t="inlineStr">
        <is>
          <t>P114 — Sens Y Niv5</t>
        </is>
      </c>
    </row>
    <row r="120" ht="14" customHeight="1">
      <c r="A120" s="17" t="n">
        <v>115</v>
      </c>
      <c r="B120" s="17" t="inlineStr">
        <is>
          <t>P115</t>
        </is>
      </c>
      <c r="C120" s="28" t="n">
        <v>54</v>
      </c>
      <c r="D120" s="28" t="n">
        <v>57</v>
      </c>
      <c r="E120" s="29" t="n">
        <v>0.25</v>
      </c>
      <c r="F120" s="29" t="n">
        <v>0.4</v>
      </c>
      <c r="G120" s="29" t="n">
        <v>2.5</v>
      </c>
      <c r="H120" s="29" t="n">
        <v>0</v>
      </c>
      <c r="I120" s="30" t="inlineStr">
        <is>
          <t>poutre</t>
        </is>
      </c>
      <c r="J120" s="31" t="n">
        <v>5</v>
      </c>
      <c r="K120" s="19" t="inlineStr">
        <is>
          <t>P115 — Sens Y Niv5</t>
        </is>
      </c>
    </row>
    <row r="121" ht="14" customHeight="1">
      <c r="A121" s="35" t="n">
        <v>116</v>
      </c>
      <c r="B121" s="35" t="inlineStr">
        <is>
          <t>P116</t>
        </is>
      </c>
      <c r="C121" s="36" t="n">
        <v>57</v>
      </c>
      <c r="D121" s="36" t="n">
        <v>60</v>
      </c>
      <c r="E121" s="37" t="n">
        <v>0.25</v>
      </c>
      <c r="F121" s="37" t="n">
        <v>0.4</v>
      </c>
      <c r="G121" s="37" t="n">
        <v>2.5</v>
      </c>
      <c r="H121" s="37" t="n">
        <v>0</v>
      </c>
      <c r="I121" s="30" t="inlineStr">
        <is>
          <t>poutre</t>
        </is>
      </c>
      <c r="J121" s="31" t="n">
        <v>5</v>
      </c>
      <c r="K121" s="19" t="inlineStr">
        <is>
          <t>P116 — Sens Y Niv5</t>
        </is>
      </c>
    </row>
    <row r="122" ht="14" customHeight="1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</row>
    <row r="123" ht="14" customHeight="1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</row>
    <row r="124" ht="14" customHeight="1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</row>
    <row r="125" ht="14" customHeight="1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</row>
    <row r="126" ht="14" customHeight="1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</row>
    <row r="127" ht="14" customHeight="1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</row>
    <row r="128" ht="14" customHeight="1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</row>
    <row r="129" ht="14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</row>
    <row r="130" ht="14" customHeight="1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</row>
    <row r="131" ht="14" customHeight="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</row>
    <row r="132" ht="14" customHeight="1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</row>
    <row r="133" ht="14" customHeight="1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</row>
    <row r="134" ht="14" customHeight="1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</row>
    <row r="135" ht="14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</row>
    <row r="136" ht="14" customHeight="1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</row>
    <row r="137" ht="14" customHeight="1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</row>
    <row r="138" ht="14" customHeight="1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</row>
    <row r="139" ht="14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</row>
    <row r="140" ht="14" customHeight="1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</row>
    <row r="141" ht="14" customHeight="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</row>
  </sheetData>
  <mergeCells count="4">
    <mergeCell ref="A2:K2"/>
    <mergeCell ref="A53:K53"/>
    <mergeCell ref="A1:K1"/>
    <mergeCell ref="A4:K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9" customWidth="1" min="7" max="7"/>
    <col width="8" customWidth="1" min="8" max="8"/>
    <col width="8" customWidth="1" min="9" max="9"/>
    <col width="9" customWidth="1" min="10" max="10"/>
    <col width="8" customWidth="1" min="11" max="11"/>
    <col width="22" customWidth="1" min="12" max="12"/>
  </cols>
  <sheetData>
    <row r="1" ht="22" customHeight="1">
      <c r="A1" s="1" t="inlineStr">
        <is>
          <t xml:space="preserve">  DALLES — Contours, charges et type</t>
        </is>
      </c>
    </row>
    <row r="2" ht="28" customHeight="1">
      <c r="A2" s="38" t="inlineStr">
        <is>
          <t>G = charges permanentes INCLUANT le poids propre de la dalle (ex: hourdis 16+4 h=0.20m : G_superpose + 25x0.20 = G_superpose + 5.0 kN/m2). Sens X ou Y pour hourdis. XY pour dalle pleine carree.</t>
        </is>
      </c>
    </row>
    <row r="3" ht="36" customHeight="1">
      <c r="A3" s="24" t="inlineStr">
        <is>
          <t>ID</t>
        </is>
      </c>
      <c r="B3" s="24" t="inlineStr">
        <is>
          <t>N1</t>
        </is>
      </c>
      <c r="C3" s="24" t="inlineStr">
        <is>
          <t>N2</t>
        </is>
      </c>
      <c r="D3" s="24" t="inlineStr">
        <is>
          <t>N3</t>
        </is>
      </c>
      <c r="E3" s="24" t="inlineStr">
        <is>
          <t>N4</t>
        </is>
      </c>
      <c r="F3" s="24" t="inlineStr">
        <is>
          <t>N5</t>
        </is>
      </c>
      <c r="G3" s="24" t="inlineStr">
        <is>
          <t>Sens
portee</t>
        </is>
      </c>
      <c r="H3" s="24" t="inlineStr">
        <is>
          <t>G
(kN/m2)</t>
        </is>
      </c>
      <c r="I3" s="24" t="inlineStr">
        <is>
          <t>Q
(kN/m2)</t>
        </is>
      </c>
      <c r="J3" s="24" t="inlineStr">
        <is>
          <t>Type
dalle</t>
        </is>
      </c>
      <c r="K3" s="39" t="inlineStr">
        <is>
          <t>e (m)
Pleine seulement</t>
        </is>
      </c>
      <c r="L3" s="26" t="inlineStr">
        <is>
          <t>Repere</t>
        </is>
      </c>
    </row>
    <row r="4" ht="14" customHeight="1">
      <c r="A4" s="40" t="n">
        <v>1</v>
      </c>
      <c r="B4" s="41" t="n">
        <v>13</v>
      </c>
      <c r="C4" s="41" t="n">
        <v>14</v>
      </c>
      <c r="D4" s="41" t="n">
        <v>17</v>
      </c>
      <c r="E4" s="41" t="n">
        <v>16</v>
      </c>
      <c r="G4" s="28" t="inlineStr">
        <is>
          <t>Sens X</t>
        </is>
      </c>
      <c r="H4" s="42" t="n">
        <v>8.5</v>
      </c>
      <c r="I4" s="42" t="n">
        <v>2.5</v>
      </c>
      <c r="J4" s="17" t="inlineStr">
        <is>
          <t>Hourdis</t>
        </is>
      </c>
      <c r="K4" s="43" t="inlineStr"/>
      <c r="L4" s="19" t="inlineStr">
        <is>
          <t>D1 — RDC — noeuds 13,14,17,16</t>
        </is>
      </c>
    </row>
    <row r="5" ht="14" customHeight="1">
      <c r="A5" s="40" t="n">
        <v>2</v>
      </c>
      <c r="B5" s="41" t="n">
        <v>14</v>
      </c>
      <c r="C5" s="41" t="n">
        <v>15</v>
      </c>
      <c r="D5" s="41" t="n">
        <v>18</v>
      </c>
      <c r="E5" s="41" t="n">
        <v>17</v>
      </c>
      <c r="G5" s="28" t="inlineStr">
        <is>
          <t>Sens X</t>
        </is>
      </c>
      <c r="H5" s="42" t="n">
        <v>8.5</v>
      </c>
      <c r="I5" s="42" t="n">
        <v>2.5</v>
      </c>
      <c r="J5" s="17" t="inlineStr">
        <is>
          <t>Hourdis</t>
        </is>
      </c>
      <c r="K5" s="43" t="inlineStr"/>
      <c r="L5" s="19" t="inlineStr">
        <is>
          <t>D2 — RDC — noeuds 14,15,18,17</t>
        </is>
      </c>
    </row>
    <row r="6" ht="14" customHeight="1">
      <c r="A6" s="40" t="n">
        <v>3</v>
      </c>
      <c r="B6" s="41" t="n">
        <v>16</v>
      </c>
      <c r="C6" s="41" t="n">
        <v>17</v>
      </c>
      <c r="D6" s="41" t="n">
        <v>20</v>
      </c>
      <c r="E6" s="41" t="n">
        <v>19</v>
      </c>
      <c r="G6" s="28" t="inlineStr">
        <is>
          <t>Sens X</t>
        </is>
      </c>
      <c r="H6" s="42" t="n">
        <v>8.5</v>
      </c>
      <c r="I6" s="42" t="n">
        <v>2.5</v>
      </c>
      <c r="J6" s="17" t="inlineStr">
        <is>
          <t>Hourdis</t>
        </is>
      </c>
      <c r="K6" s="43" t="inlineStr"/>
      <c r="L6" s="19" t="inlineStr">
        <is>
          <t>D3 — RDC — noeuds 16,17,20,19</t>
        </is>
      </c>
    </row>
    <row r="7" ht="14" customHeight="1">
      <c r="A7" s="40" t="n">
        <v>4</v>
      </c>
      <c r="B7" s="41" t="n">
        <v>17</v>
      </c>
      <c r="C7" s="41" t="n">
        <v>18</v>
      </c>
      <c r="D7" s="41" t="n">
        <v>21</v>
      </c>
      <c r="E7" s="41" t="n">
        <v>20</v>
      </c>
      <c r="G7" s="28" t="inlineStr">
        <is>
          <t>Sens X</t>
        </is>
      </c>
      <c r="H7" s="42" t="n">
        <v>8.5</v>
      </c>
      <c r="I7" s="42" t="n">
        <v>2.5</v>
      </c>
      <c r="J7" s="17" t="inlineStr">
        <is>
          <t>Hourdis</t>
        </is>
      </c>
      <c r="K7" s="43" t="inlineStr"/>
      <c r="L7" s="19" t="inlineStr">
        <is>
          <t>D4 — RDC — noeuds 17,18,21,20</t>
        </is>
      </c>
    </row>
    <row r="8" ht="14" customHeight="1">
      <c r="A8" s="40" t="n">
        <v>5</v>
      </c>
      <c r="B8" s="41" t="n">
        <v>19</v>
      </c>
      <c r="C8" s="41" t="n">
        <v>20</v>
      </c>
      <c r="D8" s="41" t="n">
        <v>23</v>
      </c>
      <c r="E8" s="41" t="n">
        <v>22</v>
      </c>
      <c r="G8" s="28" t="inlineStr">
        <is>
          <t>Sens X</t>
        </is>
      </c>
      <c r="H8" s="42" t="n">
        <v>8.5</v>
      </c>
      <c r="I8" s="42" t="n">
        <v>2.5</v>
      </c>
      <c r="J8" s="17" t="inlineStr">
        <is>
          <t>Hourdis</t>
        </is>
      </c>
      <c r="K8" s="43" t="inlineStr"/>
      <c r="L8" s="19" t="inlineStr">
        <is>
          <t>D5 — RDC — noeuds 19,20,23,22</t>
        </is>
      </c>
    </row>
    <row r="9" ht="14" customHeight="1">
      <c r="A9" s="40" t="n">
        <v>6</v>
      </c>
      <c r="B9" s="41" t="n">
        <v>20</v>
      </c>
      <c r="C9" s="41" t="n">
        <v>21</v>
      </c>
      <c r="D9" s="41" t="n">
        <v>24</v>
      </c>
      <c r="E9" s="41" t="n">
        <v>23</v>
      </c>
      <c r="G9" s="28" t="inlineStr">
        <is>
          <t>Sens X</t>
        </is>
      </c>
      <c r="H9" s="42" t="n">
        <v>8.5</v>
      </c>
      <c r="I9" s="42" t="n">
        <v>2.5</v>
      </c>
      <c r="J9" s="17" t="inlineStr">
        <is>
          <t>Hourdis</t>
        </is>
      </c>
      <c r="K9" s="43" t="inlineStr"/>
      <c r="L9" s="19" t="inlineStr">
        <is>
          <t>D6 — RDC — noeuds 20,21,24,23</t>
        </is>
      </c>
    </row>
    <row r="10" ht="14" customHeight="1">
      <c r="A10" s="17" t="n">
        <v>7</v>
      </c>
      <c r="B10" s="28" t="n">
        <v>25</v>
      </c>
      <c r="C10" s="28" t="n">
        <v>26</v>
      </c>
      <c r="D10" s="28" t="n">
        <v>29</v>
      </c>
      <c r="E10" s="28" t="n">
        <v>28</v>
      </c>
      <c r="G10" s="28" t="inlineStr">
        <is>
          <t>Sens X</t>
        </is>
      </c>
      <c r="H10" s="18" t="n">
        <v>8.5</v>
      </c>
      <c r="I10" s="18" t="n">
        <v>2.5</v>
      </c>
      <c r="J10" s="17" t="inlineStr">
        <is>
          <t>Hourdis</t>
        </is>
      </c>
      <c r="K10" s="43" t="inlineStr"/>
      <c r="L10" s="19" t="inlineStr">
        <is>
          <t>D7 — R+1 — noeuds 25,26,29,28</t>
        </is>
      </c>
    </row>
    <row r="11" ht="14" customHeight="1">
      <c r="A11" s="17" t="n">
        <v>8</v>
      </c>
      <c r="B11" s="28" t="n">
        <v>26</v>
      </c>
      <c r="C11" s="28" t="n">
        <v>27</v>
      </c>
      <c r="D11" s="28" t="n">
        <v>30</v>
      </c>
      <c r="E11" s="28" t="n">
        <v>29</v>
      </c>
      <c r="G11" s="28" t="inlineStr">
        <is>
          <t>Sens X</t>
        </is>
      </c>
      <c r="H11" s="18" t="n">
        <v>8.5</v>
      </c>
      <c r="I11" s="18" t="n">
        <v>2.5</v>
      </c>
      <c r="J11" s="17" t="inlineStr">
        <is>
          <t>Hourdis</t>
        </is>
      </c>
      <c r="K11" s="43" t="inlineStr"/>
      <c r="L11" s="19" t="inlineStr">
        <is>
          <t>D8 — R+1 — noeuds 26,27,30,29</t>
        </is>
      </c>
    </row>
    <row r="12" ht="14" customHeight="1">
      <c r="A12" s="17" t="n">
        <v>9</v>
      </c>
      <c r="B12" s="28" t="n">
        <v>28</v>
      </c>
      <c r="C12" s="28" t="n">
        <v>29</v>
      </c>
      <c r="D12" s="28" t="n">
        <v>32</v>
      </c>
      <c r="E12" s="28" t="n">
        <v>31</v>
      </c>
      <c r="G12" s="28" t="inlineStr">
        <is>
          <t>Sens X</t>
        </is>
      </c>
      <c r="H12" s="18" t="n">
        <v>8.5</v>
      </c>
      <c r="I12" s="18" t="n">
        <v>2.5</v>
      </c>
      <c r="J12" s="17" t="inlineStr">
        <is>
          <t>Hourdis</t>
        </is>
      </c>
      <c r="K12" s="43" t="inlineStr"/>
      <c r="L12" s="19" t="inlineStr">
        <is>
          <t>D9 — R+1 — noeuds 28,29,32,31</t>
        </is>
      </c>
    </row>
    <row r="13" ht="14" customHeight="1">
      <c r="A13" s="17" t="n">
        <v>10</v>
      </c>
      <c r="B13" s="28" t="n">
        <v>29</v>
      </c>
      <c r="C13" s="28" t="n">
        <v>30</v>
      </c>
      <c r="D13" s="28" t="n">
        <v>33</v>
      </c>
      <c r="E13" s="28" t="n">
        <v>32</v>
      </c>
      <c r="G13" s="28" t="inlineStr">
        <is>
          <t>Sens X</t>
        </is>
      </c>
      <c r="H13" s="18" t="n">
        <v>8.5</v>
      </c>
      <c r="I13" s="18" t="n">
        <v>2.5</v>
      </c>
      <c r="J13" s="17" t="inlineStr">
        <is>
          <t>Hourdis</t>
        </is>
      </c>
      <c r="K13" s="43" t="inlineStr"/>
      <c r="L13" s="19" t="inlineStr">
        <is>
          <t>D10 — R+1 — noeuds 29,30,33,32</t>
        </is>
      </c>
    </row>
    <row r="14" ht="14" customHeight="1">
      <c r="A14" s="17" t="n">
        <v>11</v>
      </c>
      <c r="B14" s="28" t="n">
        <v>31</v>
      </c>
      <c r="C14" s="28" t="n">
        <v>32</v>
      </c>
      <c r="D14" s="28" t="n">
        <v>35</v>
      </c>
      <c r="E14" s="28" t="n">
        <v>34</v>
      </c>
      <c r="G14" s="28" t="inlineStr">
        <is>
          <t>Sens X</t>
        </is>
      </c>
      <c r="H14" s="18" t="n">
        <v>8.5</v>
      </c>
      <c r="I14" s="18" t="n">
        <v>2.5</v>
      </c>
      <c r="J14" s="17" t="inlineStr">
        <is>
          <t>Hourdis</t>
        </is>
      </c>
      <c r="K14" s="43" t="inlineStr"/>
      <c r="L14" s="19" t="inlineStr">
        <is>
          <t>D11 — R+1 — noeuds 31,32,35,34</t>
        </is>
      </c>
    </row>
    <row r="15" ht="14" customHeight="1">
      <c r="A15" s="17" t="n">
        <v>12</v>
      </c>
      <c r="B15" s="28" t="n">
        <v>32</v>
      </c>
      <c r="C15" s="28" t="n">
        <v>33</v>
      </c>
      <c r="D15" s="28" t="n">
        <v>36</v>
      </c>
      <c r="E15" s="28" t="n">
        <v>35</v>
      </c>
      <c r="G15" s="28" t="inlineStr">
        <is>
          <t>Sens X</t>
        </is>
      </c>
      <c r="H15" s="18" t="n">
        <v>8.5</v>
      </c>
      <c r="I15" s="18" t="n">
        <v>2.5</v>
      </c>
      <c r="J15" s="17" t="inlineStr">
        <is>
          <t>Hourdis</t>
        </is>
      </c>
      <c r="K15" s="43" t="inlineStr"/>
      <c r="L15" s="19" t="inlineStr">
        <is>
          <t>D12 — R+1 — noeuds 32,33,36,35</t>
        </is>
      </c>
    </row>
    <row r="16" ht="14" customHeight="1">
      <c r="A16" s="40" t="n">
        <v>13</v>
      </c>
      <c r="B16" s="41" t="n">
        <v>37</v>
      </c>
      <c r="C16" s="41" t="n">
        <v>38</v>
      </c>
      <c r="D16" s="41" t="n">
        <v>41</v>
      </c>
      <c r="E16" s="41" t="n">
        <v>40</v>
      </c>
      <c r="G16" s="28" t="inlineStr">
        <is>
          <t>Sens X</t>
        </is>
      </c>
      <c r="H16" s="42" t="n">
        <v>8.5</v>
      </c>
      <c r="I16" s="42" t="n">
        <v>2.5</v>
      </c>
      <c r="J16" s="17" t="inlineStr">
        <is>
          <t>Hourdis</t>
        </is>
      </c>
      <c r="K16" s="43" t="inlineStr"/>
      <c r="L16" s="19" t="inlineStr">
        <is>
          <t>D13 — R+2 — noeuds 37,38,41,40</t>
        </is>
      </c>
    </row>
    <row r="17" ht="14" customHeight="1">
      <c r="A17" s="40" t="n">
        <v>14</v>
      </c>
      <c r="B17" s="41" t="n">
        <v>38</v>
      </c>
      <c r="C17" s="41" t="n">
        <v>39</v>
      </c>
      <c r="D17" s="41" t="n">
        <v>42</v>
      </c>
      <c r="E17" s="41" t="n">
        <v>41</v>
      </c>
      <c r="G17" s="28" t="inlineStr">
        <is>
          <t>Sens X</t>
        </is>
      </c>
      <c r="H17" s="42" t="n">
        <v>8.5</v>
      </c>
      <c r="I17" s="42" t="n">
        <v>2.5</v>
      </c>
      <c r="J17" s="17" t="inlineStr">
        <is>
          <t>Hourdis</t>
        </is>
      </c>
      <c r="K17" s="43" t="inlineStr"/>
      <c r="L17" s="19" t="inlineStr">
        <is>
          <t>D14 — R+2 — noeuds 38,39,42,41</t>
        </is>
      </c>
    </row>
    <row r="18" ht="14" customHeight="1">
      <c r="A18" s="40" t="n">
        <v>15</v>
      </c>
      <c r="B18" s="41" t="n">
        <v>40</v>
      </c>
      <c r="C18" s="41" t="n">
        <v>41</v>
      </c>
      <c r="D18" s="41" t="n">
        <v>44</v>
      </c>
      <c r="E18" s="41" t="n">
        <v>43</v>
      </c>
      <c r="G18" s="28" t="inlineStr">
        <is>
          <t>Sens X</t>
        </is>
      </c>
      <c r="H18" s="42" t="n">
        <v>8.5</v>
      </c>
      <c r="I18" s="42" t="n">
        <v>2.5</v>
      </c>
      <c r="J18" s="17" t="inlineStr">
        <is>
          <t>Hourdis</t>
        </is>
      </c>
      <c r="K18" s="43" t="inlineStr"/>
      <c r="L18" s="19" t="inlineStr">
        <is>
          <t>D15 — R+2 — noeuds 40,41,44,43</t>
        </is>
      </c>
    </row>
    <row r="19" ht="14" customHeight="1">
      <c r="A19" s="40" t="n">
        <v>16</v>
      </c>
      <c r="B19" s="41" t="n">
        <v>41</v>
      </c>
      <c r="C19" s="41" t="n">
        <v>42</v>
      </c>
      <c r="D19" s="41" t="n">
        <v>45</v>
      </c>
      <c r="E19" s="41" t="n">
        <v>44</v>
      </c>
      <c r="G19" s="28" t="inlineStr">
        <is>
          <t>Sens X</t>
        </is>
      </c>
      <c r="H19" s="42" t="n">
        <v>8.5</v>
      </c>
      <c r="I19" s="42" t="n">
        <v>2.5</v>
      </c>
      <c r="J19" s="17" t="inlineStr">
        <is>
          <t>Hourdis</t>
        </is>
      </c>
      <c r="K19" s="43" t="inlineStr"/>
      <c r="L19" s="19" t="inlineStr">
        <is>
          <t>D16 — R+2 — noeuds 41,42,45,44</t>
        </is>
      </c>
    </row>
    <row r="20" ht="14" customHeight="1">
      <c r="A20" s="40" t="n">
        <v>17</v>
      </c>
      <c r="B20" s="41" t="n">
        <v>43</v>
      </c>
      <c r="C20" s="41" t="n">
        <v>44</v>
      </c>
      <c r="D20" s="41" t="n">
        <v>47</v>
      </c>
      <c r="E20" s="41" t="n">
        <v>46</v>
      </c>
      <c r="G20" s="28" t="inlineStr">
        <is>
          <t>Sens X</t>
        </is>
      </c>
      <c r="H20" s="42" t="n">
        <v>8.5</v>
      </c>
      <c r="I20" s="42" t="n">
        <v>2.5</v>
      </c>
      <c r="J20" s="17" t="inlineStr">
        <is>
          <t>Hourdis</t>
        </is>
      </c>
      <c r="K20" s="43" t="inlineStr"/>
      <c r="L20" s="19" t="inlineStr">
        <is>
          <t>D17 — R+2 — noeuds 43,44,47,46</t>
        </is>
      </c>
    </row>
    <row r="21" ht="14" customHeight="1">
      <c r="A21" s="40" t="n">
        <v>18</v>
      </c>
      <c r="B21" s="41" t="n">
        <v>44</v>
      </c>
      <c r="C21" s="41" t="n">
        <v>45</v>
      </c>
      <c r="D21" s="41" t="n">
        <v>48</v>
      </c>
      <c r="E21" s="41" t="n">
        <v>47</v>
      </c>
      <c r="G21" s="28" t="inlineStr">
        <is>
          <t>Sens X</t>
        </is>
      </c>
      <c r="H21" s="42" t="n">
        <v>8.5</v>
      </c>
      <c r="I21" s="42" t="n">
        <v>2.5</v>
      </c>
      <c r="J21" s="17" t="inlineStr">
        <is>
          <t>Hourdis</t>
        </is>
      </c>
      <c r="K21" s="43" t="inlineStr"/>
      <c r="L21" s="19" t="inlineStr">
        <is>
          <t>D18 — R+2 — noeuds 44,45,48,47</t>
        </is>
      </c>
    </row>
    <row r="22" ht="14" customHeight="1">
      <c r="A22" s="17" t="n">
        <v>19</v>
      </c>
      <c r="B22" s="28" t="n">
        <v>49</v>
      </c>
      <c r="C22" s="28" t="n">
        <v>50</v>
      </c>
      <c r="D22" s="28" t="n">
        <v>53</v>
      </c>
      <c r="E22" s="28" t="n">
        <v>52</v>
      </c>
      <c r="G22" s="28" t="inlineStr">
        <is>
          <t>Sens X</t>
        </is>
      </c>
      <c r="H22" s="18" t="n">
        <v>9.5</v>
      </c>
      <c r="I22" s="18" t="n">
        <v>1.5</v>
      </c>
      <c r="J22" s="17" t="inlineStr">
        <is>
          <t>Hourdis</t>
        </is>
      </c>
      <c r="K22" s="43" t="inlineStr"/>
      <c r="L22" s="19" t="inlineStr">
        <is>
          <t>D19 — R+3 Terrasse — noeuds 49,50,53,52</t>
        </is>
      </c>
    </row>
    <row r="23" ht="14" customHeight="1">
      <c r="A23" s="17" t="n">
        <v>20</v>
      </c>
      <c r="B23" s="28" t="n">
        <v>50</v>
      </c>
      <c r="C23" s="28" t="n">
        <v>51</v>
      </c>
      <c r="D23" s="28" t="n">
        <v>54</v>
      </c>
      <c r="E23" s="28" t="n">
        <v>53</v>
      </c>
      <c r="G23" s="28" t="inlineStr">
        <is>
          <t>Sens X</t>
        </is>
      </c>
      <c r="H23" s="18" t="n">
        <v>9.5</v>
      </c>
      <c r="I23" s="18" t="n">
        <v>1.5</v>
      </c>
      <c r="J23" s="17" t="inlineStr">
        <is>
          <t>Hourdis</t>
        </is>
      </c>
      <c r="K23" s="43" t="inlineStr"/>
      <c r="L23" s="19" t="inlineStr">
        <is>
          <t>D20 — R+3 Terrasse — noeuds 50,51,54,53</t>
        </is>
      </c>
    </row>
    <row r="24" ht="14" customHeight="1">
      <c r="A24" s="17" t="n">
        <v>21</v>
      </c>
      <c r="B24" s="28" t="n">
        <v>52</v>
      </c>
      <c r="C24" s="28" t="n">
        <v>53</v>
      </c>
      <c r="D24" s="28" t="n">
        <v>56</v>
      </c>
      <c r="E24" s="28" t="n">
        <v>55</v>
      </c>
      <c r="G24" s="28" t="inlineStr">
        <is>
          <t>Sens X</t>
        </is>
      </c>
      <c r="H24" s="18" t="n">
        <v>9.5</v>
      </c>
      <c r="I24" s="18" t="n">
        <v>1.5</v>
      </c>
      <c r="J24" s="17" t="inlineStr">
        <is>
          <t>Hourdis</t>
        </is>
      </c>
      <c r="K24" s="43" t="inlineStr"/>
      <c r="L24" s="19" t="inlineStr">
        <is>
          <t>D21 — R+3 Terrasse — noeuds 52,53,56,55</t>
        </is>
      </c>
    </row>
    <row r="25" ht="14" customHeight="1">
      <c r="A25" s="17" t="n">
        <v>22</v>
      </c>
      <c r="B25" s="28" t="n">
        <v>53</v>
      </c>
      <c r="C25" s="28" t="n">
        <v>54</v>
      </c>
      <c r="D25" s="28" t="n">
        <v>57</v>
      </c>
      <c r="E25" s="28" t="n">
        <v>56</v>
      </c>
      <c r="G25" s="28" t="inlineStr">
        <is>
          <t>Sens X</t>
        </is>
      </c>
      <c r="H25" s="18" t="n">
        <v>9.5</v>
      </c>
      <c r="I25" s="18" t="n">
        <v>1.5</v>
      </c>
      <c r="J25" s="17" t="inlineStr">
        <is>
          <t>Hourdis</t>
        </is>
      </c>
      <c r="K25" s="43" t="inlineStr"/>
      <c r="L25" s="19" t="inlineStr">
        <is>
          <t>D22 — R+3 Terrasse — noeuds 53,54,57,56</t>
        </is>
      </c>
    </row>
    <row r="26" ht="14" customHeight="1">
      <c r="A26" s="17" t="n">
        <v>23</v>
      </c>
      <c r="B26" s="28" t="n">
        <v>55</v>
      </c>
      <c r="C26" s="28" t="n">
        <v>56</v>
      </c>
      <c r="D26" s="28" t="n">
        <v>59</v>
      </c>
      <c r="E26" s="28" t="n">
        <v>58</v>
      </c>
      <c r="G26" s="28" t="inlineStr">
        <is>
          <t>Sens X</t>
        </is>
      </c>
      <c r="H26" s="18" t="n">
        <v>9.5</v>
      </c>
      <c r="I26" s="18" t="n">
        <v>1.5</v>
      </c>
      <c r="J26" s="17" t="inlineStr">
        <is>
          <t>Hourdis</t>
        </is>
      </c>
      <c r="K26" s="43" t="inlineStr"/>
      <c r="L26" s="19" t="inlineStr">
        <is>
          <t>D23 — R+3 Terrasse — noeuds 55,56,59,58</t>
        </is>
      </c>
    </row>
    <row r="27" ht="14" customHeight="1">
      <c r="A27" s="17" t="n">
        <v>24</v>
      </c>
      <c r="B27" s="28" t="n">
        <v>56</v>
      </c>
      <c r="C27" s="28" t="n">
        <v>57</v>
      </c>
      <c r="D27" s="28" t="n">
        <v>60</v>
      </c>
      <c r="E27" s="28" t="n">
        <v>59</v>
      </c>
      <c r="G27" s="28" t="inlineStr">
        <is>
          <t>Sens X</t>
        </is>
      </c>
      <c r="H27" s="18" t="n">
        <v>9.5</v>
      </c>
      <c r="I27" s="18" t="n">
        <v>1.5</v>
      </c>
      <c r="J27" s="17" t="inlineStr">
        <is>
          <t>Hourdis</t>
        </is>
      </c>
      <c r="K27" s="43" t="inlineStr"/>
      <c r="L27" s="19" t="inlineStr">
        <is>
          <t>D24 — R+3 Terrasse — noeuds 56,57,60,59</t>
        </is>
      </c>
    </row>
    <row r="28" ht="14" customHeight="1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</row>
    <row r="29" ht="14" customHeight="1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</row>
    <row r="30" ht="14" customHeight="1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</row>
    <row r="31" ht="14" customHeight="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</row>
    <row r="32" ht="14" customHeight="1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</row>
    <row r="33" ht="14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</row>
    <row r="34" ht="14" customHeight="1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</row>
    <row r="35" ht="14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</row>
    <row r="36" ht="14" customHeight="1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</row>
    <row r="37" ht="14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</row>
    <row r="38" ht="14" customHeight="1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</row>
    <row r="39" ht="14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</row>
    <row r="40" ht="14" customHeight="1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 ht="14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</row>
    <row r="42" ht="14" customHeight="1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4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</row>
    <row r="44" ht="14" customHeight="1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</row>
    <row r="45" ht="14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</row>
    <row r="46" ht="14" customHeight="1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</row>
    <row r="47" ht="14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</row>
  </sheetData>
  <mergeCells count="2">
    <mergeCell ref="A2:L2"/>
    <mergeCell ref="A1:L1"/>
  </mergeCells>
  <conditionalFormatting sqref="K4:K200">
    <cfRule type="expression" priority="1" dxfId="0">
      <formula>J4="Hourdis"</formula>
    </cfRule>
  </conditionalFormatting>
  <dataValidations count="2">
    <dataValidation sqref="G4:G200" showDropDown="0" showInputMessage="0" showErrorMessage="0" allowBlank="0" prompt="Hourdis: Sens X ou Sens Y | Dalle pleine carree: XY" type="list">
      <formula1>"Sens X,Sens Y,XY"</formula1>
    </dataValidation>
    <dataValidation sqref="J4:J200" showDropDown="0" showInputMessage="0" showErrorMessage="0" allowBlank="0" prompt="Choisir le type de dalle" type="list">
      <formula1>"Hourdis,Dalle pleine"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4" customWidth="1" min="4" max="4"/>
    <col width="12" customWidth="1" min="5" max="5"/>
    <col width="9" customWidth="1" min="6" max="6"/>
    <col width="9" customWidth="1" min="7" max="7"/>
    <col width="12" customWidth="1" min="8" max="8"/>
    <col width="9" customWidth="1" min="9" max="9"/>
    <col width="9" customWidth="1" min="10" max="10"/>
  </cols>
  <sheetData>
    <row r="1" ht="22" customHeight="1">
      <c r="A1" s="1" t="inlineStr">
        <is>
          <t xml:space="preserve">  FONDATIONS — Semelles isolees</t>
        </is>
      </c>
    </row>
    <row r="2" ht="18" customHeight="1">
      <c r="A2" s="14" t="inlineStr">
        <is>
          <t>ex=0 et ey=0 pour semelle centree (cas courant). Colonnes E a J : remplir UNIQUEMENT si ex&gt;0 ou ey&gt;0 (semelle excentrique). q_adm_loc=0 : utiliser la valeur globale de la feuille Materiaux.</t>
        </is>
      </c>
    </row>
    <row r="3" ht="36" customHeight="1">
      <c r="A3" s="24" t="inlineStr">
        <is>
          <t>ID
Poteau</t>
        </is>
      </c>
      <c r="B3" s="24" t="inlineStr">
        <is>
          <t>ex
(m)</t>
        </is>
      </c>
      <c r="C3" s="24" t="inlineStr">
        <is>
          <t>ey
(m)</t>
        </is>
      </c>
      <c r="D3" s="24" t="inlineStr">
        <is>
          <t>q_adm_loc
(kN/m2)</t>
        </is>
      </c>
      <c r="E3" s="44" t="inlineStr">
        <is>
          <t>Long_X
vers</t>
        </is>
      </c>
      <c r="F3" s="44" t="inlineStr">
        <is>
          <t>b_lX
(m)</t>
        </is>
      </c>
      <c r="G3" s="44" t="inlineStr">
        <is>
          <t>h_lX
(m)</t>
        </is>
      </c>
      <c r="H3" s="44" t="inlineStr">
        <is>
          <t>Long_Y
vers</t>
        </is>
      </c>
      <c r="I3" s="44" t="inlineStr">
        <is>
          <t>b_lY
(m)</t>
        </is>
      </c>
      <c r="J3" s="44" t="inlineStr">
        <is>
          <t>h_lY
(m)</t>
        </is>
      </c>
    </row>
    <row r="4" ht="16" customHeight="1">
      <c r="A4" s="17" t="n">
        <v>1</v>
      </c>
      <c r="B4" s="45" t="n">
        <v>0</v>
      </c>
      <c r="C4" s="45" t="n">
        <v>0</v>
      </c>
      <c r="D4" s="28" t="n">
        <v>0</v>
      </c>
      <c r="E4" s="43" t="inlineStr"/>
      <c r="F4" s="43" t="inlineStr"/>
      <c r="G4" s="43" t="inlineStr"/>
      <c r="H4" s="43" t="inlineStr"/>
      <c r="I4" s="43" t="inlineStr"/>
      <c r="J4" s="43" t="inlineStr"/>
    </row>
    <row r="5" ht="16" customHeight="1">
      <c r="A5" s="46" t="n">
        <v>2</v>
      </c>
      <c r="B5" s="47" t="n">
        <v>0</v>
      </c>
      <c r="C5" s="47" t="n">
        <v>0</v>
      </c>
      <c r="D5" s="48" t="n">
        <v>0</v>
      </c>
      <c r="E5" s="43" t="inlineStr"/>
      <c r="F5" s="43" t="inlineStr"/>
      <c r="G5" s="43" t="inlineStr"/>
      <c r="H5" s="43" t="inlineStr"/>
      <c r="I5" s="43" t="inlineStr"/>
      <c r="J5" s="43" t="inlineStr"/>
    </row>
    <row r="6" ht="16" customHeight="1">
      <c r="A6" s="17" t="n">
        <v>3</v>
      </c>
      <c r="B6" s="45" t="n">
        <v>0</v>
      </c>
      <c r="C6" s="45" t="n">
        <v>0</v>
      </c>
      <c r="D6" s="28" t="n">
        <v>0</v>
      </c>
      <c r="E6" s="43" t="inlineStr"/>
      <c r="F6" s="43" t="inlineStr"/>
      <c r="G6" s="43" t="inlineStr"/>
      <c r="H6" s="43" t="inlineStr"/>
      <c r="I6" s="43" t="inlineStr"/>
      <c r="J6" s="43" t="inlineStr"/>
    </row>
    <row r="7" ht="16" customHeight="1">
      <c r="A7" s="46" t="n">
        <v>4</v>
      </c>
      <c r="B7" s="47" t="n">
        <v>0</v>
      </c>
      <c r="C7" s="47" t="n">
        <v>0</v>
      </c>
      <c r="D7" s="48" t="n">
        <v>0</v>
      </c>
      <c r="E7" s="43" t="inlineStr"/>
      <c r="F7" s="43" t="inlineStr"/>
      <c r="G7" s="43" t="inlineStr"/>
      <c r="H7" s="43" t="inlineStr"/>
      <c r="I7" s="43" t="inlineStr"/>
      <c r="J7" s="43" t="inlineStr"/>
    </row>
    <row r="8" ht="16" customHeight="1">
      <c r="A8" s="17" t="n">
        <v>5</v>
      </c>
      <c r="B8" s="45" t="n">
        <v>0</v>
      </c>
      <c r="C8" s="45" t="n">
        <v>0</v>
      </c>
      <c r="D8" s="28" t="n">
        <v>0</v>
      </c>
      <c r="E8" s="43" t="inlineStr"/>
      <c r="F8" s="43" t="inlineStr"/>
      <c r="G8" s="43" t="inlineStr"/>
      <c r="H8" s="43" t="inlineStr"/>
      <c r="I8" s="43" t="inlineStr"/>
      <c r="J8" s="43" t="inlineStr"/>
    </row>
    <row r="9" ht="16" customHeight="1">
      <c r="A9" s="46" t="n">
        <v>6</v>
      </c>
      <c r="B9" s="47" t="n">
        <v>0</v>
      </c>
      <c r="C9" s="47" t="n">
        <v>0</v>
      </c>
      <c r="D9" s="48" t="n">
        <v>0</v>
      </c>
      <c r="E9" s="43" t="inlineStr"/>
      <c r="F9" s="43" t="inlineStr"/>
      <c r="G9" s="43" t="inlineStr"/>
      <c r="H9" s="43" t="inlineStr"/>
      <c r="I9" s="43" t="inlineStr"/>
      <c r="J9" s="43" t="inlineStr"/>
    </row>
    <row r="10" ht="16" customHeight="1">
      <c r="A10" s="17" t="n">
        <v>7</v>
      </c>
      <c r="B10" s="45" t="n">
        <v>0</v>
      </c>
      <c r="C10" s="45" t="n">
        <v>0</v>
      </c>
      <c r="D10" s="28" t="n">
        <v>0</v>
      </c>
      <c r="E10" s="43" t="inlineStr"/>
      <c r="F10" s="43" t="inlineStr"/>
      <c r="G10" s="43" t="inlineStr"/>
      <c r="H10" s="43" t="inlineStr"/>
      <c r="I10" s="43" t="inlineStr"/>
      <c r="J10" s="43" t="inlineStr"/>
    </row>
    <row r="11" ht="16" customHeight="1">
      <c r="A11" s="46" t="n">
        <v>8</v>
      </c>
      <c r="B11" s="47" t="n">
        <v>0</v>
      </c>
      <c r="C11" s="47" t="n">
        <v>0</v>
      </c>
      <c r="D11" s="48" t="n">
        <v>0</v>
      </c>
      <c r="E11" s="43" t="inlineStr"/>
      <c r="F11" s="43" t="inlineStr"/>
      <c r="G11" s="43" t="inlineStr"/>
      <c r="H11" s="43" t="inlineStr"/>
      <c r="I11" s="43" t="inlineStr"/>
      <c r="J11" s="43" t="inlineStr"/>
    </row>
    <row r="12" ht="16" customHeight="1">
      <c r="A12" s="17" t="n">
        <v>9</v>
      </c>
      <c r="B12" s="45" t="n">
        <v>0</v>
      </c>
      <c r="C12" s="45" t="n">
        <v>0</v>
      </c>
      <c r="D12" s="28" t="n">
        <v>0</v>
      </c>
      <c r="E12" s="43" t="inlineStr"/>
      <c r="F12" s="43" t="inlineStr"/>
      <c r="G12" s="43" t="inlineStr"/>
      <c r="H12" s="43" t="inlineStr"/>
      <c r="I12" s="43" t="inlineStr"/>
      <c r="J12" s="43" t="inlineStr"/>
    </row>
    <row r="13" ht="16" customHeight="1">
      <c r="A13" s="46" t="n">
        <v>10</v>
      </c>
      <c r="B13" s="47" t="n">
        <v>0</v>
      </c>
      <c r="C13" s="47" t="n">
        <v>0</v>
      </c>
      <c r="D13" s="48" t="n">
        <v>0</v>
      </c>
      <c r="E13" s="43" t="inlineStr"/>
      <c r="F13" s="43" t="inlineStr"/>
      <c r="G13" s="43" t="inlineStr"/>
      <c r="H13" s="43" t="inlineStr"/>
      <c r="I13" s="43" t="inlineStr"/>
      <c r="J13" s="43" t="inlineStr"/>
    </row>
    <row r="14" ht="16" customHeight="1">
      <c r="A14" s="17" t="n">
        <v>11</v>
      </c>
      <c r="B14" s="45" t="n">
        <v>0</v>
      </c>
      <c r="C14" s="45" t="n">
        <v>0</v>
      </c>
      <c r="D14" s="28" t="n">
        <v>0</v>
      </c>
      <c r="E14" s="43" t="inlineStr"/>
      <c r="F14" s="43" t="inlineStr"/>
      <c r="G14" s="43" t="inlineStr"/>
      <c r="H14" s="43" t="inlineStr"/>
      <c r="I14" s="43" t="inlineStr"/>
      <c r="J14" s="43" t="inlineStr"/>
    </row>
    <row r="15" ht="16" customHeight="1">
      <c r="A15" s="46" t="n">
        <v>12</v>
      </c>
      <c r="B15" s="47" t="n">
        <v>0</v>
      </c>
      <c r="C15" s="47" t="n">
        <v>0</v>
      </c>
      <c r="D15" s="48" t="n">
        <v>0</v>
      </c>
      <c r="E15" s="43" t="inlineStr"/>
      <c r="F15" s="43" t="inlineStr"/>
      <c r="G15" s="43" t="inlineStr"/>
      <c r="H15" s="43" t="inlineStr"/>
      <c r="I15" s="43" t="inlineStr"/>
      <c r="J15" s="43" t="inlineStr"/>
    </row>
    <row r="16" ht="14" customHeight="1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</row>
    <row r="17" ht="14" customHeight="1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</row>
    <row r="18" ht="14" customHeight="1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</row>
    <row r="19" ht="14" customHeight="1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</row>
    <row r="20" ht="14" customHeight="1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</row>
    <row r="21" ht="14" customHeight="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</row>
    <row r="22" ht="14" customHeight="1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</row>
    <row r="23" ht="14" customHeight="1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</row>
    <row r="24" ht="14" customHeight="1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</row>
    <row r="25" ht="14" customHeight="1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</row>
    <row r="26" ht="14" customHeight="1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</row>
    <row r="27" ht="14" customHeight="1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</row>
    <row r="28" ht="14" customHeight="1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</row>
    <row r="29" ht="14" customHeight="1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</row>
    <row r="30" ht="14" customHeight="1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</row>
    <row r="31" ht="14" customHeight="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</row>
    <row r="32" ht="14" customHeight="1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</row>
    <row r="33" ht="14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</row>
    <row r="34" ht="14" customHeight="1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</row>
    <row r="35" ht="14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</row>
  </sheetData>
  <mergeCells count="2">
    <mergeCell ref="A1:J1"/>
    <mergeCell ref="A2:J2"/>
  </mergeCells>
  <conditionalFormatting sqref="E4:J200">
    <cfRule type="expression" priority="1" dxfId="0">
      <formula>AND($B4=0,$C4=0)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40" customWidth="1" min="3" max="3"/>
    <col width="45" customWidth="1" min="4" max="4"/>
  </cols>
  <sheetData>
    <row r="1" ht="22" customHeight="1">
      <c r="A1" s="1" t="inlineStr">
        <is>
          <t xml:space="preserve">  GUIDE DE SAISIE — BAEL 91</t>
        </is>
      </c>
    </row>
    <row r="3" ht="15" customHeight="1">
      <c r="A3" s="49" t="inlineStr">
        <is>
          <t xml:space="preserve">  COULEURS</t>
        </is>
      </c>
    </row>
    <row r="4" ht="20" customHeight="1">
      <c r="B4" s="50" t="inlineStr">
        <is>
          <t>• Jaune</t>
        </is>
      </c>
      <c r="C4" s="51" t="inlineStr">
        <is>
          <t>Cellule de saisie utilisateur</t>
        </is>
      </c>
      <c r="D4" s="52" t="inlineStr">
        <is>
          <t>A remplir par l utilisateur</t>
        </is>
      </c>
    </row>
    <row r="5" ht="20" customHeight="1">
      <c r="B5" s="53" t="inlineStr">
        <is>
          <t>• Vert</t>
        </is>
      </c>
      <c r="C5" s="54" t="inlineStr">
        <is>
          <t>Cellule calculee automatiquement</t>
        </is>
      </c>
      <c r="D5" s="55" t="inlineStr">
        <is>
          <t>Ne pas modifier</t>
        </is>
      </c>
    </row>
    <row r="6" ht="20" customHeight="1">
      <c r="B6" s="50" t="inlineStr">
        <is>
          <t>• Gris</t>
        </is>
      </c>
      <c r="C6" s="51" t="inlineStr">
        <is>
          <t>Cellule inutile ou verrouilee</t>
        </is>
      </c>
      <c r="D6" s="52" t="inlineStr">
        <is>
          <t>Laisser vide</t>
        </is>
      </c>
    </row>
    <row r="7" ht="16" customHeight="1"/>
    <row r="8" ht="15" customHeight="1">
      <c r="A8" s="49" t="inlineStr">
        <is>
          <t xml:space="preserve">  NOEUDS</t>
        </is>
      </c>
    </row>
    <row r="9" ht="20" customHeight="1">
      <c r="B9" s="53" t="inlineStr">
        <is>
          <t>• ID</t>
        </is>
      </c>
      <c r="C9" s="54" t="inlineStr">
        <is>
          <t>Numero unique du noeud (entier positif)</t>
        </is>
      </c>
      <c r="D9" s="55" t="inlineStr">
        <is>
          <t>Ex : 1, 2, 3...</t>
        </is>
      </c>
    </row>
    <row r="10" ht="20" customHeight="1">
      <c r="B10" s="50" t="inlineStr">
        <is>
          <t>• X, Y</t>
        </is>
      </c>
      <c r="C10" s="51" t="inlineStr">
        <is>
          <t>Coordonnees en plan (m)</t>
        </is>
      </c>
      <c r="D10" s="52" t="inlineStr">
        <is>
          <t>Origine au coin inferieur gauche</t>
        </is>
      </c>
    </row>
    <row r="11" ht="20" customHeight="1">
      <c r="B11" s="53" t="inlineStr">
        <is>
          <t>• Z</t>
        </is>
      </c>
      <c r="C11" s="54" t="inlineStr">
        <is>
          <t>Cote altimetrique (m)</t>
        </is>
      </c>
      <c r="D11" s="55" t="inlineStr">
        <is>
          <t>Z=0 pour les fondations</t>
        </is>
      </c>
    </row>
    <row r="12" ht="16" customHeight="1"/>
    <row r="13" ht="15" customHeight="1">
      <c r="A13" s="49" t="inlineStr">
        <is>
          <t xml:space="preserve">  BARRES</t>
        </is>
      </c>
    </row>
    <row r="14" ht="20" customHeight="1">
      <c r="B14" s="50" t="inlineStr">
        <is>
          <t>• Ni, Nj</t>
        </is>
      </c>
      <c r="C14" s="51" t="inlineStr">
        <is>
          <t>Noeuds initial et final de la barre</t>
        </is>
      </c>
      <c r="D14" s="52" t="inlineStr">
        <is>
          <t>Doivent exister dans Noeuds</t>
        </is>
      </c>
    </row>
    <row r="15" ht="20" customHeight="1">
      <c r="B15" s="53" t="inlineStr">
        <is>
          <t>• b, h</t>
        </is>
      </c>
      <c r="C15" s="54" t="inlineStr">
        <is>
          <t>Section transversale (m)</t>
        </is>
      </c>
      <c r="D15" s="55" t="inlineStr">
        <is>
          <t>b = largeur, h = hauteur</t>
        </is>
      </c>
    </row>
    <row r="16" ht="20" customHeight="1">
      <c r="B16" s="50" t="inlineStr">
        <is>
          <t>• G_add</t>
        </is>
      </c>
      <c r="C16" s="51" t="inlineStr">
        <is>
          <t>Charges permanentes additionnelles (kN/m)</t>
        </is>
      </c>
      <c r="D16" s="52" t="inlineStr">
        <is>
          <t>Cloisons, equipements... SANS poids propre</t>
        </is>
      </c>
    </row>
    <row r="17" ht="20" customHeight="1">
      <c r="B17" s="53" t="inlineStr">
        <is>
          <t>• Q_add</t>
        </is>
      </c>
      <c r="C17" s="54" t="inlineStr">
        <is>
          <t>Charges variables additionnelles (kN/m)</t>
        </is>
      </c>
      <c r="D17" s="55" t="inlineStr">
        <is>
          <t>0 si pas de charge directe sur la barre</t>
        </is>
      </c>
    </row>
    <row r="18" ht="16" customHeight="1"/>
    <row r="19" ht="15" customHeight="1">
      <c r="A19" s="49" t="inlineStr">
        <is>
          <t xml:space="preserve">  DALLES</t>
        </is>
      </c>
    </row>
    <row r="20" ht="20" customHeight="1">
      <c r="B20" s="50" t="inlineStr">
        <is>
          <t>• N1..N5</t>
        </is>
      </c>
      <c r="C20" s="51" t="inlineStr">
        <is>
          <t>IDs des noeuds du contour (sens anti-horaire)</t>
        </is>
      </c>
      <c r="D20" s="52" t="inlineStr">
        <is>
          <t>Min 3, max 5 noeuds</t>
        </is>
      </c>
    </row>
    <row r="21" ht="20" customHeight="1">
      <c r="B21" s="53" t="inlineStr">
        <is>
          <t>• Sens</t>
        </is>
      </c>
      <c r="C21" s="54" t="inlineStr">
        <is>
          <t>Sens X ou Y pour hourdis, XY pour dalle pleine</t>
        </is>
      </c>
      <c r="D21" s="55" t="inlineStr">
        <is>
          <t>Impose le sens des nervures</t>
        </is>
      </c>
    </row>
    <row r="22" ht="20" customHeight="1">
      <c r="B22" s="50" t="inlineStr">
        <is>
          <t>• G</t>
        </is>
      </c>
      <c r="C22" s="51" t="inlineStr">
        <is>
          <t>Charges permanentes INCLUANT poids propre (kN/m2)</t>
        </is>
      </c>
      <c r="D22" s="52" t="inlineStr">
        <is>
          <t>G = G_superpose + rhoba x epaisseur</t>
        </is>
      </c>
    </row>
    <row r="23" ht="20" customHeight="1">
      <c r="B23" s="53" t="inlineStr">
        <is>
          <t>• Q</t>
        </is>
      </c>
      <c r="C23" s="54" t="inlineStr">
        <is>
          <t>Charges variables (kN/m2)</t>
        </is>
      </c>
      <c r="D23" s="55" t="inlineStr">
        <is>
          <t>Habitation : 1.5 a 2.5 kN/m2</t>
        </is>
      </c>
    </row>
    <row r="24" ht="20" customHeight="1">
      <c r="B24" s="50" t="inlineStr">
        <is>
          <t>• Type</t>
        </is>
      </c>
      <c r="C24" s="51" t="inlineStr">
        <is>
          <t>Hourdis ou Dalle pleine</t>
        </is>
      </c>
      <c r="D24" s="52" t="inlineStr">
        <is>
          <t>Hourdis : sens impose | Pleine : 2 sens si rho&gt;0.4</t>
        </is>
      </c>
    </row>
    <row r="25" ht="20" customHeight="1">
      <c r="B25" s="53" t="inlineStr">
        <is>
          <t>• e (m)</t>
        </is>
      </c>
      <c r="C25" s="54" t="inlineStr">
        <is>
          <t>Epaisseur uniquement pour dalle pleine</t>
        </is>
      </c>
      <c r="D25" s="55" t="inlineStr">
        <is>
          <t>Laisser vide pour hourdis</t>
        </is>
      </c>
    </row>
    <row r="26" ht="16" customHeight="1"/>
    <row r="27" ht="15" customHeight="1">
      <c r="A27" s="49" t="inlineStr">
        <is>
          <t xml:space="preserve">  FONDATIONS</t>
        </is>
      </c>
    </row>
    <row r="28" ht="20" customHeight="1">
      <c r="B28" s="50" t="inlineStr">
        <is>
          <t>• ex, ey</t>
        </is>
      </c>
      <c r="C28" s="51" t="inlineStr">
        <is>
          <t>Excentricites de la semelle (m)</t>
        </is>
      </c>
      <c r="D28" s="52" t="inlineStr">
        <is>
          <t>0 si semelle centree sous le poteau</t>
        </is>
      </c>
    </row>
    <row r="29" ht="20" customHeight="1">
      <c r="B29" s="53" t="inlineStr">
        <is>
          <t>• q_adm_loc</t>
        </is>
      </c>
      <c r="C29" s="54" t="inlineStr">
        <is>
          <t>Contrainte admissible locale (kN/m2)</t>
        </is>
      </c>
      <c r="D29" s="55" t="inlineStr">
        <is>
          <t>0 = utiliser valeur globale (feuille Materiaux)</t>
        </is>
      </c>
    </row>
    <row r="30" ht="20" customHeight="1">
      <c r="B30" s="50" t="inlineStr">
        <is>
          <t>• Long_X/Y</t>
        </is>
      </c>
      <c r="C30" s="51" t="inlineStr">
        <is>
          <t>ID du poteau vers lequel part la longrine</t>
        </is>
      </c>
      <c r="D30" s="52" t="inlineStr">
        <is>
          <t>Remplir uniquement si ex ou ey &gt; 0</t>
        </is>
      </c>
    </row>
    <row r="31" ht="16" customHeight="1"/>
    <row r="32" ht="15" customHeight="1">
      <c r="A32" s="49" t="inlineStr">
        <is>
          <t xml:space="preserve">  POIDS PROPRE DES DALLES</t>
        </is>
      </c>
    </row>
    <row r="33" ht="20" customHeight="1">
      <c r="B33" s="53" t="inlineStr">
        <is>
          <t>• IMPORTANT</t>
        </is>
      </c>
      <c r="C33" s="54" t="inlineStr">
        <is>
          <t>Le programme NE calcule PAS automatiquement le poids propre des dalles</t>
        </is>
      </c>
      <c r="D33" s="55" t="inlineStr">
        <is>
          <t>L utilisateur doit l inclure dans G</t>
        </is>
      </c>
    </row>
    <row r="34" ht="20" customHeight="1">
      <c r="B34" s="50" t="inlineStr">
        <is>
          <t>• Exemple hourdis 16+4</t>
        </is>
      </c>
      <c r="C34" s="51" t="inlineStr">
        <is>
          <t>h=0.20m, rho=25 kN/m3 → pp = 25 x 0.20 = 5.0 kN/m2</t>
        </is>
      </c>
      <c r="D34" s="52" t="inlineStr">
        <is>
          <t>G = G_superpose + 5.0  (ex: 3.5 + 5.0 = 8.5 kN/m2)</t>
        </is>
      </c>
    </row>
    <row r="35" ht="20" customHeight="1">
      <c r="B35" s="53" t="inlineStr">
        <is>
          <t>• Exemple dalle pleine</t>
        </is>
      </c>
      <c r="C35" s="54" t="inlineStr">
        <is>
          <t>e=0.15m, rho=25 kN/m3 → pp = 25 x 0.15 = 3.75 kN/m2</t>
        </is>
      </c>
      <c r="D35" s="55" t="inlineStr">
        <is>
          <t>G = G_superpose + 3.75</t>
        </is>
      </c>
    </row>
  </sheetData>
  <mergeCells count="7">
    <mergeCell ref="A19:C19"/>
    <mergeCell ref="A13:C13"/>
    <mergeCell ref="A1:C1"/>
    <mergeCell ref="A32:C32"/>
    <mergeCell ref="A8:C8"/>
    <mergeCell ref="A27:C27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2026-04-11T16:24:33Z</dcterms:created>
  <dcterms:modified xmlns:dcterms="http://purl.org/dc/terms/" xmlns:xsi="http://www.w3.org/2001/XMLSchema-instance" xsi:type="dcterms:W3CDTF">2026-04-11T16:24:33Z</dcterms:modified>
</cp:coreProperties>
</file>